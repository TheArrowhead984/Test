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e6da8c05ebbe81/Documents/"/>
    </mc:Choice>
  </mc:AlternateContent>
  <xr:revisionPtr revIDLastSave="519" documentId="13_ncr:40009_{1EB0171D-7218-40ED-8322-8E34FA49D181}" xr6:coauthVersionLast="47" xr6:coauthVersionMax="47" xr10:uidLastSave="{D8A4E3AD-8C3D-4C00-8B92-B1781AB98DAF}"/>
  <bookViews>
    <workbookView xWindow="-120" yWindow="-120" windowWidth="38640" windowHeight="21240" xr2:uid="{00000000-000D-0000-FFFF-FFFF00000000}"/>
  </bookViews>
  <sheets>
    <sheet name="Charts" sheetId="14" r:id="rId1"/>
    <sheet name="Whisky Cask Sorted Sales" sheetId="15" r:id="rId2"/>
    <sheet name="Data" sheetId="1" r:id="rId3"/>
    <sheet name="Original Data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38" i="1" l="1"/>
  <c r="A1850" i="1"/>
  <c r="A1862" i="1"/>
  <c r="A1874" i="1"/>
  <c r="A1876" i="1"/>
  <c r="A1877" i="1"/>
  <c r="A1879" i="1"/>
  <c r="A1880" i="1"/>
  <c r="A1881" i="1"/>
  <c r="A1882" i="1"/>
  <c r="A1884" i="1"/>
  <c r="A1886" i="1"/>
  <c r="A1887" i="1"/>
  <c r="A1888" i="1"/>
  <c r="A1889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S58" i="1"/>
  <c r="S50" i="1"/>
  <c r="S42" i="1"/>
  <c r="S34" i="1"/>
  <c r="G3" i="1" a="1"/>
  <c r="A119" i="1" l="1"/>
  <c r="A263" i="1"/>
  <c r="A407" i="1"/>
  <c r="A539" i="1"/>
  <c r="A611" i="1"/>
  <c r="A683" i="1"/>
  <c r="A755" i="1"/>
  <c r="A827" i="1"/>
  <c r="A899" i="1"/>
  <c r="A959" i="1"/>
  <c r="A1007" i="1"/>
  <c r="A1025" i="1"/>
  <c r="A1037" i="1"/>
  <c r="A1049" i="1"/>
  <c r="A1061" i="1"/>
  <c r="A1073" i="1"/>
  <c r="A1085" i="1"/>
  <c r="A1097" i="1"/>
  <c r="A1109" i="1"/>
  <c r="A1121" i="1"/>
  <c r="A1133" i="1"/>
  <c r="A1145" i="1"/>
  <c r="A1157" i="1"/>
  <c r="A1169" i="1"/>
  <c r="A1181" i="1"/>
  <c r="A1193" i="1"/>
  <c r="A1205" i="1"/>
  <c r="A1217" i="1"/>
  <c r="A1229" i="1"/>
  <c r="A1241" i="1"/>
  <c r="A1253" i="1"/>
  <c r="A1265" i="1"/>
  <c r="A1277" i="1"/>
  <c r="A1289" i="1"/>
  <c r="A1301" i="1"/>
  <c r="A1313" i="1"/>
  <c r="A1325" i="1"/>
  <c r="A1337" i="1"/>
  <c r="A1349" i="1"/>
  <c r="A1361" i="1"/>
  <c r="A1373" i="1"/>
  <c r="A1385" i="1"/>
  <c r="A1397" i="1"/>
  <c r="A1409" i="1"/>
  <c r="A1421" i="1"/>
  <c r="A1433" i="1"/>
  <c r="A1445" i="1"/>
  <c r="A1457" i="1"/>
  <c r="A1469" i="1"/>
  <c r="A1481" i="1"/>
  <c r="A1493" i="1"/>
  <c r="A1505" i="1"/>
  <c r="A1517" i="1"/>
  <c r="A1529" i="1"/>
  <c r="A1541" i="1"/>
  <c r="A1553" i="1"/>
  <c r="A1565" i="1"/>
  <c r="A1577" i="1"/>
  <c r="A1589" i="1"/>
  <c r="A1601" i="1"/>
  <c r="A1613" i="1"/>
  <c r="A1625" i="1"/>
  <c r="A1637" i="1"/>
  <c r="A1649" i="1"/>
  <c r="A1661" i="1"/>
  <c r="A1673" i="1"/>
  <c r="A1685" i="1"/>
  <c r="A1697" i="1"/>
  <c r="A1709" i="1"/>
  <c r="A1721" i="1"/>
  <c r="A1733" i="1"/>
  <c r="A1745" i="1"/>
  <c r="A1757" i="1"/>
  <c r="A1769" i="1"/>
  <c r="A1781" i="1"/>
  <c r="A1793" i="1"/>
  <c r="A1805" i="1"/>
  <c r="A1817" i="1"/>
  <c r="A1829" i="1"/>
  <c r="A1841" i="1"/>
  <c r="A1853" i="1"/>
  <c r="A1865" i="1"/>
  <c r="A131" i="1"/>
  <c r="A275" i="1"/>
  <c r="A419" i="1"/>
  <c r="A550" i="1"/>
  <c r="A622" i="1"/>
  <c r="A694" i="1"/>
  <c r="A766" i="1"/>
  <c r="A838" i="1"/>
  <c r="A910" i="1"/>
  <c r="A967" i="1"/>
  <c r="A1010" i="1"/>
  <c r="A1026" i="1"/>
  <c r="A1038" i="1"/>
  <c r="A1050" i="1"/>
  <c r="A1062" i="1"/>
  <c r="A1074" i="1"/>
  <c r="A1086" i="1"/>
  <c r="A1098" i="1"/>
  <c r="A1110" i="1"/>
  <c r="A1122" i="1"/>
  <c r="A1134" i="1"/>
  <c r="A1146" i="1"/>
  <c r="A1158" i="1"/>
  <c r="A1170" i="1"/>
  <c r="A1182" i="1"/>
  <c r="A1194" i="1"/>
  <c r="A1206" i="1"/>
  <c r="A1218" i="1"/>
  <c r="A1230" i="1"/>
  <c r="A1242" i="1"/>
  <c r="A1254" i="1"/>
  <c r="A1266" i="1"/>
  <c r="A1278" i="1"/>
  <c r="A1290" i="1"/>
  <c r="A1302" i="1"/>
  <c r="A1314" i="1"/>
  <c r="A1326" i="1"/>
  <c r="A1338" i="1"/>
  <c r="A1350" i="1"/>
  <c r="A1362" i="1"/>
  <c r="A1374" i="1"/>
  <c r="A1386" i="1"/>
  <c r="A1398" i="1"/>
  <c r="A1410" i="1"/>
  <c r="A1422" i="1"/>
  <c r="A1434" i="1"/>
  <c r="A1446" i="1"/>
  <c r="A1458" i="1"/>
  <c r="A1470" i="1"/>
  <c r="A1482" i="1"/>
  <c r="A1494" i="1"/>
  <c r="A1506" i="1"/>
  <c r="A1518" i="1"/>
  <c r="A1530" i="1"/>
  <c r="A1542" i="1"/>
  <c r="A1554" i="1"/>
  <c r="A1566" i="1"/>
  <c r="A1578" i="1"/>
  <c r="A1590" i="1"/>
  <c r="A1602" i="1"/>
  <c r="A1614" i="1"/>
  <c r="A1626" i="1"/>
  <c r="A1638" i="1"/>
  <c r="A1650" i="1"/>
  <c r="A1662" i="1"/>
  <c r="A1674" i="1"/>
  <c r="A1686" i="1"/>
  <c r="A1698" i="1"/>
  <c r="A1710" i="1"/>
  <c r="A1722" i="1"/>
  <c r="A1734" i="1"/>
  <c r="A1746" i="1"/>
  <c r="A1758" i="1"/>
  <c r="A1770" i="1"/>
  <c r="A1782" i="1"/>
  <c r="A1794" i="1"/>
  <c r="A1806" i="1"/>
  <c r="A1818" i="1"/>
  <c r="A1830" i="1"/>
  <c r="A1842" i="1"/>
  <c r="A1854" i="1"/>
  <c r="A1866" i="1"/>
  <c r="A1878" i="1"/>
  <c r="A1890" i="1"/>
  <c r="A12" i="1"/>
  <c r="A143" i="1"/>
  <c r="A287" i="1"/>
  <c r="A431" i="1"/>
  <c r="A551" i="1"/>
  <c r="A623" i="1"/>
  <c r="A695" i="1"/>
  <c r="A767" i="1"/>
  <c r="A839" i="1"/>
  <c r="A911" i="1"/>
  <c r="A970" i="1"/>
  <c r="A1013" i="1"/>
  <c r="A1027" i="1"/>
  <c r="A1039" i="1"/>
  <c r="A1051" i="1"/>
  <c r="A1063" i="1"/>
  <c r="A1075" i="1"/>
  <c r="A1087" i="1"/>
  <c r="A1099" i="1"/>
  <c r="A1111" i="1"/>
  <c r="A1123" i="1"/>
  <c r="A1135" i="1"/>
  <c r="A1147" i="1"/>
  <c r="A1159" i="1"/>
  <c r="A1171" i="1"/>
  <c r="A1183" i="1"/>
  <c r="A1195" i="1"/>
  <c r="A1207" i="1"/>
  <c r="A1219" i="1"/>
  <c r="A1231" i="1"/>
  <c r="A1243" i="1"/>
  <c r="A1255" i="1"/>
  <c r="A1267" i="1"/>
  <c r="A1279" i="1"/>
  <c r="A1291" i="1"/>
  <c r="A1303" i="1"/>
  <c r="A1315" i="1"/>
  <c r="A1327" i="1"/>
  <c r="A1339" i="1"/>
  <c r="A1351" i="1"/>
  <c r="A1363" i="1"/>
  <c r="A1375" i="1"/>
  <c r="A1387" i="1"/>
  <c r="A1399" i="1"/>
  <c r="A1411" i="1"/>
  <c r="A1423" i="1"/>
  <c r="A1435" i="1"/>
  <c r="A1447" i="1"/>
  <c r="A1459" i="1"/>
  <c r="A1471" i="1"/>
  <c r="A1483" i="1"/>
  <c r="A1495" i="1"/>
  <c r="A1507" i="1"/>
  <c r="A1519" i="1"/>
  <c r="A1531" i="1"/>
  <c r="A1543" i="1"/>
  <c r="A1555" i="1"/>
  <c r="A1567" i="1"/>
  <c r="A1579" i="1"/>
  <c r="A1591" i="1"/>
  <c r="A1603" i="1"/>
  <c r="A1615" i="1"/>
  <c r="A1627" i="1"/>
  <c r="A1639" i="1"/>
  <c r="A1651" i="1"/>
  <c r="A1663" i="1"/>
  <c r="A1675" i="1"/>
  <c r="A1687" i="1"/>
  <c r="A1699" i="1"/>
  <c r="A1711" i="1"/>
  <c r="A1723" i="1"/>
  <c r="A1735" i="1"/>
  <c r="A1747" i="1"/>
  <c r="A1759" i="1"/>
  <c r="A1771" i="1"/>
  <c r="A1783" i="1"/>
  <c r="A1795" i="1"/>
  <c r="A1807" i="1"/>
  <c r="A1819" i="1"/>
  <c r="A1831" i="1"/>
  <c r="A1843" i="1"/>
  <c r="A1855" i="1"/>
  <c r="A1867" i="1"/>
  <c r="A11" i="1"/>
  <c r="A155" i="1"/>
  <c r="A299" i="1"/>
  <c r="A443" i="1"/>
  <c r="A562" i="1"/>
  <c r="A634" i="1"/>
  <c r="A706" i="1"/>
  <c r="A778" i="1"/>
  <c r="A850" i="1"/>
  <c r="A922" i="1"/>
  <c r="A971" i="1"/>
  <c r="A1015" i="1"/>
  <c r="A1028" i="1"/>
  <c r="A1040" i="1"/>
  <c r="A1052" i="1"/>
  <c r="A1064" i="1"/>
  <c r="A1076" i="1"/>
  <c r="A1088" i="1"/>
  <c r="A1100" i="1"/>
  <c r="A1112" i="1"/>
  <c r="A1124" i="1"/>
  <c r="A1136" i="1"/>
  <c r="A1148" i="1"/>
  <c r="A1160" i="1"/>
  <c r="A1172" i="1"/>
  <c r="A1184" i="1"/>
  <c r="A1196" i="1"/>
  <c r="A1208" i="1"/>
  <c r="A1220" i="1"/>
  <c r="A1232" i="1"/>
  <c r="A1244" i="1"/>
  <c r="A1256" i="1"/>
  <c r="A1268" i="1"/>
  <c r="A1280" i="1"/>
  <c r="A1292" i="1"/>
  <c r="A1304" i="1"/>
  <c r="A1316" i="1"/>
  <c r="A1328" i="1"/>
  <c r="A1340" i="1"/>
  <c r="A1352" i="1"/>
  <c r="A1364" i="1"/>
  <c r="A1376" i="1"/>
  <c r="A1388" i="1"/>
  <c r="A1400" i="1"/>
  <c r="A1412" i="1"/>
  <c r="A1424" i="1"/>
  <c r="A1436" i="1"/>
  <c r="A1448" i="1"/>
  <c r="A1460" i="1"/>
  <c r="A1472" i="1"/>
  <c r="A1484" i="1"/>
  <c r="A1496" i="1"/>
  <c r="A1508" i="1"/>
  <c r="A1520" i="1"/>
  <c r="A1532" i="1"/>
  <c r="A1544" i="1"/>
  <c r="A1556" i="1"/>
  <c r="A1568" i="1"/>
  <c r="A1580" i="1"/>
  <c r="A1592" i="1"/>
  <c r="A1604" i="1"/>
  <c r="A1616" i="1"/>
  <c r="A1628" i="1"/>
  <c r="A1640" i="1"/>
  <c r="A1652" i="1"/>
  <c r="A1664" i="1"/>
  <c r="A1676" i="1"/>
  <c r="A1688" i="1"/>
  <c r="A1700" i="1"/>
  <c r="A1712" i="1"/>
  <c r="A1724" i="1"/>
  <c r="A1736" i="1"/>
  <c r="A1748" i="1"/>
  <c r="A1760" i="1"/>
  <c r="A1772" i="1"/>
  <c r="A1784" i="1"/>
  <c r="A1796" i="1"/>
  <c r="A1808" i="1"/>
  <c r="A1820" i="1"/>
  <c r="A1832" i="1"/>
  <c r="A1844" i="1"/>
  <c r="A1856" i="1"/>
  <c r="A1868" i="1"/>
  <c r="A23" i="1"/>
  <c r="A167" i="1"/>
  <c r="A311" i="1"/>
  <c r="A455" i="1"/>
  <c r="A563" i="1"/>
  <c r="A635" i="1"/>
  <c r="A707" i="1"/>
  <c r="A779" i="1"/>
  <c r="A851" i="1"/>
  <c r="A923" i="1"/>
  <c r="A979" i="1"/>
  <c r="A1016" i="1"/>
  <c r="A1029" i="1"/>
  <c r="A1041" i="1"/>
  <c r="A1053" i="1"/>
  <c r="A1065" i="1"/>
  <c r="A1077" i="1"/>
  <c r="A1089" i="1"/>
  <c r="A1101" i="1"/>
  <c r="A1113" i="1"/>
  <c r="A1125" i="1"/>
  <c r="A1137" i="1"/>
  <c r="A1149" i="1"/>
  <c r="A1161" i="1"/>
  <c r="A1173" i="1"/>
  <c r="A1185" i="1"/>
  <c r="A1197" i="1"/>
  <c r="A1209" i="1"/>
  <c r="A1221" i="1"/>
  <c r="A1233" i="1"/>
  <c r="A1245" i="1"/>
  <c r="A1257" i="1"/>
  <c r="A1269" i="1"/>
  <c r="A1281" i="1"/>
  <c r="A1293" i="1"/>
  <c r="A1305" i="1"/>
  <c r="A1317" i="1"/>
  <c r="A1329" i="1"/>
  <c r="A1341" i="1"/>
  <c r="A1353" i="1"/>
  <c r="A1365" i="1"/>
  <c r="A1377" i="1"/>
  <c r="A1389" i="1"/>
  <c r="A1401" i="1"/>
  <c r="A1413" i="1"/>
  <c r="A1425" i="1"/>
  <c r="A1437" i="1"/>
  <c r="A1449" i="1"/>
  <c r="A1461" i="1"/>
  <c r="A1473" i="1"/>
  <c r="A1485" i="1"/>
  <c r="A1497" i="1"/>
  <c r="A1509" i="1"/>
  <c r="A1521" i="1"/>
  <c r="A1533" i="1"/>
  <c r="A1545" i="1"/>
  <c r="A1557" i="1"/>
  <c r="A1569" i="1"/>
  <c r="A1581" i="1"/>
  <c r="A1593" i="1"/>
  <c r="A1605" i="1"/>
  <c r="A1617" i="1"/>
  <c r="A1629" i="1"/>
  <c r="A1641" i="1"/>
  <c r="A1653" i="1"/>
  <c r="A1665" i="1"/>
  <c r="A1677" i="1"/>
  <c r="A1689" i="1"/>
  <c r="A1701" i="1"/>
  <c r="A1713" i="1"/>
  <c r="A1725" i="1"/>
  <c r="A1737" i="1"/>
  <c r="A1749" i="1"/>
  <c r="A1761" i="1"/>
  <c r="A1773" i="1"/>
  <c r="A1785" i="1"/>
  <c r="A1797" i="1"/>
  <c r="A1809" i="1"/>
  <c r="A1821" i="1"/>
  <c r="A1833" i="1"/>
  <c r="A1845" i="1"/>
  <c r="A1857" i="1"/>
  <c r="A1869" i="1"/>
  <c r="A35" i="1"/>
  <c r="A179" i="1"/>
  <c r="A323" i="1"/>
  <c r="A467" i="1"/>
  <c r="A574" i="1"/>
  <c r="A646" i="1"/>
  <c r="A718" i="1"/>
  <c r="A790" i="1"/>
  <c r="A862" i="1"/>
  <c r="A934" i="1"/>
  <c r="A982" i="1"/>
  <c r="A1018" i="1"/>
  <c r="A1030" i="1"/>
  <c r="A1042" i="1"/>
  <c r="A1054" i="1"/>
  <c r="A1066" i="1"/>
  <c r="A1078" i="1"/>
  <c r="A1090" i="1"/>
  <c r="A1102" i="1"/>
  <c r="A1114" i="1"/>
  <c r="A1126" i="1"/>
  <c r="A1138" i="1"/>
  <c r="A1150" i="1"/>
  <c r="A1162" i="1"/>
  <c r="A1174" i="1"/>
  <c r="A1186" i="1"/>
  <c r="A1198" i="1"/>
  <c r="A1210" i="1"/>
  <c r="A1222" i="1"/>
  <c r="A1234" i="1"/>
  <c r="A1246" i="1"/>
  <c r="A1258" i="1"/>
  <c r="A1270" i="1"/>
  <c r="A1282" i="1"/>
  <c r="A1294" i="1"/>
  <c r="A1306" i="1"/>
  <c r="A1318" i="1"/>
  <c r="A1330" i="1"/>
  <c r="A1342" i="1"/>
  <c r="A1354" i="1"/>
  <c r="A1366" i="1"/>
  <c r="A1378" i="1"/>
  <c r="A1390" i="1"/>
  <c r="A1402" i="1"/>
  <c r="A1414" i="1"/>
  <c r="A1426" i="1"/>
  <c r="A1438" i="1"/>
  <c r="A1450" i="1"/>
  <c r="A1462" i="1"/>
  <c r="A1474" i="1"/>
  <c r="A1486" i="1"/>
  <c r="A1498" i="1"/>
  <c r="A1510" i="1"/>
  <c r="A1522" i="1"/>
  <c r="A1534" i="1"/>
  <c r="A1546" i="1"/>
  <c r="A1558" i="1"/>
  <c r="A1570" i="1"/>
  <c r="A1582" i="1"/>
  <c r="A1594" i="1"/>
  <c r="A1606" i="1"/>
  <c r="A1618" i="1"/>
  <c r="A1630" i="1"/>
  <c r="A1642" i="1"/>
  <c r="A1654" i="1"/>
  <c r="A1666" i="1"/>
  <c r="A1678" i="1"/>
  <c r="A1690" i="1"/>
  <c r="A1702" i="1"/>
  <c r="A1714" i="1"/>
  <c r="A1726" i="1"/>
  <c r="A1738" i="1"/>
  <c r="A1750" i="1"/>
  <c r="A1762" i="1"/>
  <c r="A1774" i="1"/>
  <c r="A1786" i="1"/>
  <c r="A1798" i="1"/>
  <c r="A1810" i="1"/>
  <c r="A1822" i="1"/>
  <c r="A1834" i="1"/>
  <c r="A1846" i="1"/>
  <c r="A1858" i="1"/>
  <c r="A1870" i="1"/>
  <c r="A47" i="1"/>
  <c r="A191" i="1"/>
  <c r="A335" i="1"/>
  <c r="A479" i="1"/>
  <c r="A575" i="1"/>
  <c r="A647" i="1"/>
  <c r="A719" i="1"/>
  <c r="A791" i="1"/>
  <c r="A863" i="1"/>
  <c r="A935" i="1"/>
  <c r="A983" i="1"/>
  <c r="A1019" i="1"/>
  <c r="A1031" i="1"/>
  <c r="A1043" i="1"/>
  <c r="A1055" i="1"/>
  <c r="A1067" i="1"/>
  <c r="A1079" i="1"/>
  <c r="A1091" i="1"/>
  <c r="A1103" i="1"/>
  <c r="A1115" i="1"/>
  <c r="A1127" i="1"/>
  <c r="A1139" i="1"/>
  <c r="A1151" i="1"/>
  <c r="A1163" i="1"/>
  <c r="A1175" i="1"/>
  <c r="A1187" i="1"/>
  <c r="A1199" i="1"/>
  <c r="A1211" i="1"/>
  <c r="A1223" i="1"/>
  <c r="A1235" i="1"/>
  <c r="A1247" i="1"/>
  <c r="A1259" i="1"/>
  <c r="A1271" i="1"/>
  <c r="A1283" i="1"/>
  <c r="A1295" i="1"/>
  <c r="A1307" i="1"/>
  <c r="A1319" i="1"/>
  <c r="A1331" i="1"/>
  <c r="A1343" i="1"/>
  <c r="A1355" i="1"/>
  <c r="A1367" i="1"/>
  <c r="A1379" i="1"/>
  <c r="A1391" i="1"/>
  <c r="A1403" i="1"/>
  <c r="A1415" i="1"/>
  <c r="A1427" i="1"/>
  <c r="A1439" i="1"/>
  <c r="A1451" i="1"/>
  <c r="A1463" i="1"/>
  <c r="A1475" i="1"/>
  <c r="A1487" i="1"/>
  <c r="A1499" i="1"/>
  <c r="A1511" i="1"/>
  <c r="A1523" i="1"/>
  <c r="A1535" i="1"/>
  <c r="A1547" i="1"/>
  <c r="A1559" i="1"/>
  <c r="A1571" i="1"/>
  <c r="A1583" i="1"/>
  <c r="A1595" i="1"/>
  <c r="A1607" i="1"/>
  <c r="A1619" i="1"/>
  <c r="A1631" i="1"/>
  <c r="A1643" i="1"/>
  <c r="A1655" i="1"/>
  <c r="A1667" i="1"/>
  <c r="A1679" i="1"/>
  <c r="A1691" i="1"/>
  <c r="A1703" i="1"/>
  <c r="A1715" i="1"/>
  <c r="A1727" i="1"/>
  <c r="A1739" i="1"/>
  <c r="A1751" i="1"/>
  <c r="A1763" i="1"/>
  <c r="A1775" i="1"/>
  <c r="A1787" i="1"/>
  <c r="A1799" i="1"/>
  <c r="A1811" i="1"/>
  <c r="A1823" i="1"/>
  <c r="A1835" i="1"/>
  <c r="A1847" i="1"/>
  <c r="A1859" i="1"/>
  <c r="A1871" i="1"/>
  <c r="A1883" i="1"/>
  <c r="A59" i="1"/>
  <c r="A203" i="1"/>
  <c r="A347" i="1"/>
  <c r="A491" i="1"/>
  <c r="A586" i="1"/>
  <c r="A658" i="1"/>
  <c r="A730" i="1"/>
  <c r="A802" i="1"/>
  <c r="A874" i="1"/>
  <c r="A943" i="1"/>
  <c r="A991" i="1"/>
  <c r="A1020" i="1"/>
  <c r="A1032" i="1"/>
  <c r="A1044" i="1"/>
  <c r="A1056" i="1"/>
  <c r="A1068" i="1"/>
  <c r="A1080" i="1"/>
  <c r="A1092" i="1"/>
  <c r="A1104" i="1"/>
  <c r="A1116" i="1"/>
  <c r="A1128" i="1"/>
  <c r="A1140" i="1"/>
  <c r="A1152" i="1"/>
  <c r="A1164" i="1"/>
  <c r="A1176" i="1"/>
  <c r="A1188" i="1"/>
  <c r="A1200" i="1"/>
  <c r="A1212" i="1"/>
  <c r="A1224" i="1"/>
  <c r="A1236" i="1"/>
  <c r="A1248" i="1"/>
  <c r="A1260" i="1"/>
  <c r="A1272" i="1"/>
  <c r="A1284" i="1"/>
  <c r="A1296" i="1"/>
  <c r="A1308" i="1"/>
  <c r="A1320" i="1"/>
  <c r="A1332" i="1"/>
  <c r="A1344" i="1"/>
  <c r="A1356" i="1"/>
  <c r="A1368" i="1"/>
  <c r="A1380" i="1"/>
  <c r="A1392" i="1"/>
  <c r="A1404" i="1"/>
  <c r="A1416" i="1"/>
  <c r="A1428" i="1"/>
  <c r="A1440" i="1"/>
  <c r="A1452" i="1"/>
  <c r="A1464" i="1"/>
  <c r="A1476" i="1"/>
  <c r="A1488" i="1"/>
  <c r="A1500" i="1"/>
  <c r="A1512" i="1"/>
  <c r="A1524" i="1"/>
  <c r="A1536" i="1"/>
  <c r="A1548" i="1"/>
  <c r="A1560" i="1"/>
  <c r="A1572" i="1"/>
  <c r="A1584" i="1"/>
  <c r="A1596" i="1"/>
  <c r="A1608" i="1"/>
  <c r="A1620" i="1"/>
  <c r="A1632" i="1"/>
  <c r="A1644" i="1"/>
  <c r="A1656" i="1"/>
  <c r="A1668" i="1"/>
  <c r="A1680" i="1"/>
  <c r="A1692" i="1"/>
  <c r="A1704" i="1"/>
  <c r="A1716" i="1"/>
  <c r="A1728" i="1"/>
  <c r="A1740" i="1"/>
  <c r="A1752" i="1"/>
  <c r="A1764" i="1"/>
  <c r="A1776" i="1"/>
  <c r="A1788" i="1"/>
  <c r="A1800" i="1"/>
  <c r="A1812" i="1"/>
  <c r="A1824" i="1"/>
  <c r="A1836" i="1"/>
  <c r="A1848" i="1"/>
  <c r="A1860" i="1"/>
  <c r="A1872" i="1"/>
  <c r="A71" i="1"/>
  <c r="A215" i="1"/>
  <c r="A359" i="1"/>
  <c r="A503" i="1"/>
  <c r="A587" i="1"/>
  <c r="A659" i="1"/>
  <c r="A731" i="1"/>
  <c r="A803" i="1"/>
  <c r="A875" i="1"/>
  <c r="A946" i="1"/>
  <c r="A994" i="1"/>
  <c r="A1021" i="1"/>
  <c r="A1033" i="1"/>
  <c r="A1045" i="1"/>
  <c r="A1057" i="1"/>
  <c r="A1069" i="1"/>
  <c r="A1081" i="1"/>
  <c r="A1093" i="1"/>
  <c r="A1105" i="1"/>
  <c r="A1117" i="1"/>
  <c r="A1129" i="1"/>
  <c r="A1141" i="1"/>
  <c r="A1153" i="1"/>
  <c r="A1165" i="1"/>
  <c r="A1177" i="1"/>
  <c r="A1189" i="1"/>
  <c r="A1201" i="1"/>
  <c r="A1213" i="1"/>
  <c r="A1225" i="1"/>
  <c r="A1237" i="1"/>
  <c r="A1249" i="1"/>
  <c r="A1261" i="1"/>
  <c r="A1273" i="1"/>
  <c r="A1285" i="1"/>
  <c r="A1297" i="1"/>
  <c r="A1309" i="1"/>
  <c r="A1321" i="1"/>
  <c r="A1333" i="1"/>
  <c r="A1345" i="1"/>
  <c r="A1357" i="1"/>
  <c r="A1369" i="1"/>
  <c r="A1381" i="1"/>
  <c r="A1393" i="1"/>
  <c r="A1405" i="1"/>
  <c r="A1417" i="1"/>
  <c r="A1429" i="1"/>
  <c r="A1441" i="1"/>
  <c r="A1453" i="1"/>
  <c r="A1465" i="1"/>
  <c r="A1477" i="1"/>
  <c r="A1489" i="1"/>
  <c r="A1501" i="1"/>
  <c r="A1513" i="1"/>
  <c r="A1525" i="1"/>
  <c r="A1537" i="1"/>
  <c r="A1549" i="1"/>
  <c r="A1561" i="1"/>
  <c r="A1573" i="1"/>
  <c r="A1585" i="1"/>
  <c r="A1597" i="1"/>
  <c r="A1609" i="1"/>
  <c r="A1621" i="1"/>
  <c r="A1633" i="1"/>
  <c r="A1645" i="1"/>
  <c r="A1657" i="1"/>
  <c r="A1669" i="1"/>
  <c r="A1681" i="1"/>
  <c r="A1693" i="1"/>
  <c r="A1705" i="1"/>
  <c r="A1717" i="1"/>
  <c r="A1729" i="1"/>
  <c r="A1741" i="1"/>
  <c r="A1753" i="1"/>
  <c r="A1765" i="1"/>
  <c r="A1777" i="1"/>
  <c r="A1789" i="1"/>
  <c r="A1801" i="1"/>
  <c r="A1813" i="1"/>
  <c r="A1825" i="1"/>
  <c r="A1837" i="1"/>
  <c r="A1849" i="1"/>
  <c r="A1861" i="1"/>
  <c r="A1873" i="1"/>
  <c r="A1885" i="1"/>
  <c r="A83" i="1"/>
  <c r="A227" i="1"/>
  <c r="A371" i="1"/>
  <c r="A515" i="1"/>
  <c r="A598" i="1"/>
  <c r="A670" i="1"/>
  <c r="A742" i="1"/>
  <c r="A814" i="1"/>
  <c r="A886" i="1"/>
  <c r="A947" i="1"/>
  <c r="A995" i="1"/>
  <c r="A1022" i="1"/>
  <c r="A1034" i="1"/>
  <c r="A1046" i="1"/>
  <c r="A1058" i="1"/>
  <c r="A1070" i="1"/>
  <c r="A1082" i="1"/>
  <c r="A1094" i="1"/>
  <c r="A1106" i="1"/>
  <c r="A1118" i="1"/>
  <c r="A1130" i="1"/>
  <c r="A1142" i="1"/>
  <c r="A1154" i="1"/>
  <c r="A1166" i="1"/>
  <c r="A1178" i="1"/>
  <c r="A1190" i="1"/>
  <c r="A1202" i="1"/>
  <c r="A1214" i="1"/>
  <c r="A1226" i="1"/>
  <c r="A1238" i="1"/>
  <c r="A1250" i="1"/>
  <c r="A1262" i="1"/>
  <c r="A1274" i="1"/>
  <c r="A1286" i="1"/>
  <c r="A1298" i="1"/>
  <c r="A1310" i="1"/>
  <c r="A1322" i="1"/>
  <c r="A1334" i="1"/>
  <c r="A1346" i="1"/>
  <c r="A1358" i="1"/>
  <c r="A1370" i="1"/>
  <c r="A1382" i="1"/>
  <c r="A1394" i="1"/>
  <c r="A1406" i="1"/>
  <c r="A1418" i="1"/>
  <c r="A1430" i="1"/>
  <c r="A1442" i="1"/>
  <c r="A1454" i="1"/>
  <c r="A1466" i="1"/>
  <c r="A1478" i="1"/>
  <c r="A1490" i="1"/>
  <c r="A1502" i="1"/>
  <c r="A1514" i="1"/>
  <c r="A1526" i="1"/>
  <c r="A1538" i="1"/>
  <c r="A1550" i="1"/>
  <c r="A1562" i="1"/>
  <c r="A1574" i="1"/>
  <c r="A1586" i="1"/>
  <c r="A1598" i="1"/>
  <c r="A1610" i="1"/>
  <c r="A1622" i="1"/>
  <c r="A1634" i="1"/>
  <c r="A1646" i="1"/>
  <c r="A1658" i="1"/>
  <c r="A1670" i="1"/>
  <c r="A1682" i="1"/>
  <c r="A1694" i="1"/>
  <c r="A1706" i="1"/>
  <c r="A1718" i="1"/>
  <c r="A1730" i="1"/>
  <c r="A1742" i="1"/>
  <c r="A1754" i="1"/>
  <c r="A1766" i="1"/>
  <c r="A1778" i="1"/>
  <c r="A1790" i="1"/>
  <c r="A1802" i="1"/>
  <c r="A1814" i="1"/>
  <c r="A1826" i="1"/>
  <c r="A95" i="1"/>
  <c r="A239" i="1"/>
  <c r="A383" i="1"/>
  <c r="A527" i="1"/>
  <c r="A599" i="1"/>
  <c r="A671" i="1"/>
  <c r="A743" i="1"/>
  <c r="A815" i="1"/>
  <c r="A887" i="1"/>
  <c r="A955" i="1"/>
  <c r="A1003" i="1"/>
  <c r="A1023" i="1"/>
  <c r="A1035" i="1"/>
  <c r="A1047" i="1"/>
  <c r="A1059" i="1"/>
  <c r="A1071" i="1"/>
  <c r="A1083" i="1"/>
  <c r="A1095" i="1"/>
  <c r="A1107" i="1"/>
  <c r="A1119" i="1"/>
  <c r="A1131" i="1"/>
  <c r="A1143" i="1"/>
  <c r="A1155" i="1"/>
  <c r="A1167" i="1"/>
  <c r="A1179" i="1"/>
  <c r="A1191" i="1"/>
  <c r="A1203" i="1"/>
  <c r="A1215" i="1"/>
  <c r="A1227" i="1"/>
  <c r="A1239" i="1"/>
  <c r="A1251" i="1"/>
  <c r="A1263" i="1"/>
  <c r="A1275" i="1"/>
  <c r="A1287" i="1"/>
  <c r="A1299" i="1"/>
  <c r="A1311" i="1"/>
  <c r="A1323" i="1"/>
  <c r="A1335" i="1"/>
  <c r="A1347" i="1"/>
  <c r="A1359" i="1"/>
  <c r="A1371" i="1"/>
  <c r="A1383" i="1"/>
  <c r="A1395" i="1"/>
  <c r="A1407" i="1"/>
  <c r="A1419" i="1"/>
  <c r="A1431" i="1"/>
  <c r="A1443" i="1"/>
  <c r="A1455" i="1"/>
  <c r="A1467" i="1"/>
  <c r="A1479" i="1"/>
  <c r="A1491" i="1"/>
  <c r="A1503" i="1"/>
  <c r="A1515" i="1"/>
  <c r="A1527" i="1"/>
  <c r="A1539" i="1"/>
  <c r="A1551" i="1"/>
  <c r="A1563" i="1"/>
  <c r="A1575" i="1"/>
  <c r="A1587" i="1"/>
  <c r="A1599" i="1"/>
  <c r="A1611" i="1"/>
  <c r="A1623" i="1"/>
  <c r="A1635" i="1"/>
  <c r="A1647" i="1"/>
  <c r="A1659" i="1"/>
  <c r="A1671" i="1"/>
  <c r="A1683" i="1"/>
  <c r="A1695" i="1"/>
  <c r="A1707" i="1"/>
  <c r="A1719" i="1"/>
  <c r="A1731" i="1"/>
  <c r="A1743" i="1"/>
  <c r="A1755" i="1"/>
  <c r="A1767" i="1"/>
  <c r="A1779" i="1"/>
  <c r="A1791" i="1"/>
  <c r="A1803" i="1"/>
  <c r="A1815" i="1"/>
  <c r="A1827" i="1"/>
  <c r="A1839" i="1"/>
  <c r="A1851" i="1"/>
  <c r="A1863" i="1"/>
  <c r="A1875" i="1"/>
  <c r="A107" i="1"/>
  <c r="A251" i="1"/>
  <c r="A395" i="1"/>
  <c r="A538" i="1"/>
  <c r="A610" i="1"/>
  <c r="A682" i="1"/>
  <c r="A754" i="1"/>
  <c r="A826" i="1"/>
  <c r="A898" i="1"/>
  <c r="A958" i="1"/>
  <c r="A1006" i="1"/>
  <c r="A1024" i="1"/>
  <c r="A1036" i="1"/>
  <c r="A1048" i="1"/>
  <c r="A1060" i="1"/>
  <c r="A1072" i="1"/>
  <c r="A1084" i="1"/>
  <c r="A1096" i="1"/>
  <c r="A1108" i="1"/>
  <c r="A1120" i="1"/>
  <c r="A1132" i="1"/>
  <c r="A1144" i="1"/>
  <c r="A1156" i="1"/>
  <c r="A1168" i="1"/>
  <c r="A1180" i="1"/>
  <c r="A1192" i="1"/>
  <c r="A1204" i="1"/>
  <c r="A1216" i="1"/>
  <c r="A1228" i="1"/>
  <c r="A1240" i="1"/>
  <c r="A1252" i="1"/>
  <c r="A1264" i="1"/>
  <c r="A1276" i="1"/>
  <c r="A1288" i="1"/>
  <c r="A1300" i="1"/>
  <c r="A1312" i="1"/>
  <c r="A1324" i="1"/>
  <c r="A1336" i="1"/>
  <c r="A1348" i="1"/>
  <c r="A1360" i="1"/>
  <c r="A1372" i="1"/>
  <c r="A1384" i="1"/>
  <c r="A1396" i="1"/>
  <c r="A1408" i="1"/>
  <c r="A1420" i="1"/>
  <c r="A1432" i="1"/>
  <c r="A1444" i="1"/>
  <c r="A1456" i="1"/>
  <c r="A1468" i="1"/>
  <c r="A1480" i="1"/>
  <c r="A1492" i="1"/>
  <c r="A1504" i="1"/>
  <c r="A1516" i="1"/>
  <c r="A1528" i="1"/>
  <c r="A1540" i="1"/>
  <c r="A1552" i="1"/>
  <c r="A1564" i="1"/>
  <c r="A1576" i="1"/>
  <c r="A1588" i="1"/>
  <c r="A1600" i="1"/>
  <c r="A1612" i="1"/>
  <c r="A1624" i="1"/>
  <c r="A1636" i="1"/>
  <c r="A1648" i="1"/>
  <c r="A1660" i="1"/>
  <c r="A1672" i="1"/>
  <c r="A1684" i="1"/>
  <c r="A1696" i="1"/>
  <c r="A1708" i="1"/>
  <c r="A1720" i="1"/>
  <c r="A1732" i="1"/>
  <c r="A1744" i="1"/>
  <c r="A1756" i="1"/>
  <c r="A1768" i="1"/>
  <c r="A1780" i="1"/>
  <c r="A1792" i="1"/>
  <c r="A1804" i="1"/>
  <c r="A1816" i="1"/>
  <c r="A1828" i="1"/>
  <c r="A1840" i="1"/>
  <c r="A1852" i="1"/>
  <c r="A1864" i="1"/>
  <c r="A526" i="1"/>
  <c r="A514" i="1"/>
  <c r="A502" i="1"/>
  <c r="A490" i="1"/>
  <c r="A478" i="1"/>
  <c r="A466" i="1"/>
  <c r="A454" i="1"/>
  <c r="A442" i="1"/>
  <c r="A430" i="1"/>
  <c r="A418" i="1"/>
  <c r="A406" i="1"/>
  <c r="A394" i="1"/>
  <c r="A382" i="1"/>
  <c r="A370" i="1"/>
  <c r="A358" i="1"/>
  <c r="A346" i="1"/>
  <c r="A334" i="1"/>
  <c r="A322" i="1"/>
  <c r="A310" i="1"/>
  <c r="A298" i="1"/>
  <c r="A286" i="1"/>
  <c r="A274" i="1"/>
  <c r="A262" i="1"/>
  <c r="A250" i="1"/>
  <c r="A238" i="1"/>
  <c r="A226" i="1"/>
  <c r="A214" i="1"/>
  <c r="A202" i="1"/>
  <c r="A190" i="1"/>
  <c r="A178" i="1"/>
  <c r="A166" i="1"/>
  <c r="A154" i="1"/>
  <c r="A142" i="1"/>
  <c r="A130" i="1"/>
  <c r="A118" i="1"/>
  <c r="A106" i="1"/>
  <c r="A94" i="1"/>
  <c r="A82" i="1"/>
  <c r="A70" i="1"/>
  <c r="A58" i="1"/>
  <c r="A46" i="1"/>
  <c r="A34" i="1"/>
  <c r="A22" i="1"/>
  <c r="A10" i="1"/>
  <c r="A1017" i="1"/>
  <c r="A1005" i="1"/>
  <c r="A993" i="1"/>
  <c r="A981" i="1"/>
  <c r="A969" i="1"/>
  <c r="A957" i="1"/>
  <c r="A945" i="1"/>
  <c r="A933" i="1"/>
  <c r="A921" i="1"/>
  <c r="A909" i="1"/>
  <c r="A897" i="1"/>
  <c r="A885" i="1"/>
  <c r="A873" i="1"/>
  <c r="A861" i="1"/>
  <c r="A849" i="1"/>
  <c r="A837" i="1"/>
  <c r="A825" i="1"/>
  <c r="A813" i="1"/>
  <c r="A801" i="1"/>
  <c r="A789" i="1"/>
  <c r="A777" i="1"/>
  <c r="A765" i="1"/>
  <c r="A753" i="1"/>
  <c r="A741" i="1"/>
  <c r="A729" i="1"/>
  <c r="A717" i="1"/>
  <c r="A705" i="1"/>
  <c r="A693" i="1"/>
  <c r="A681" i="1"/>
  <c r="A669" i="1"/>
  <c r="A657" i="1"/>
  <c r="A645" i="1"/>
  <c r="A633" i="1"/>
  <c r="A621" i="1"/>
  <c r="A609" i="1"/>
  <c r="A597" i="1"/>
  <c r="A585" i="1"/>
  <c r="A573" i="1"/>
  <c r="A561" i="1"/>
  <c r="A549" i="1"/>
  <c r="A537" i="1"/>
  <c r="A525" i="1"/>
  <c r="A513" i="1"/>
  <c r="A501" i="1"/>
  <c r="A489" i="1"/>
  <c r="A477" i="1"/>
  <c r="A465" i="1"/>
  <c r="A453" i="1"/>
  <c r="A441" i="1"/>
  <c r="A429" i="1"/>
  <c r="A417" i="1"/>
  <c r="A405" i="1"/>
  <c r="A393" i="1"/>
  <c r="A381" i="1"/>
  <c r="A369" i="1"/>
  <c r="A357" i="1"/>
  <c r="A345" i="1"/>
  <c r="A333" i="1"/>
  <c r="A321" i="1"/>
  <c r="A309" i="1"/>
  <c r="A297" i="1"/>
  <c r="A285" i="1"/>
  <c r="A273" i="1"/>
  <c r="A261" i="1"/>
  <c r="A249" i="1"/>
  <c r="A237" i="1"/>
  <c r="A225" i="1"/>
  <c r="A213" i="1"/>
  <c r="A201" i="1"/>
  <c r="A189" i="1"/>
  <c r="A177" i="1"/>
  <c r="A165" i="1"/>
  <c r="A153" i="1"/>
  <c r="A141" i="1"/>
  <c r="A129" i="1"/>
  <c r="A117" i="1"/>
  <c r="A105" i="1"/>
  <c r="A93" i="1"/>
  <c r="A81" i="1"/>
  <c r="A69" i="1"/>
  <c r="A57" i="1"/>
  <c r="A45" i="1"/>
  <c r="A33" i="1"/>
  <c r="A21" i="1"/>
  <c r="A9" i="1"/>
  <c r="A1004" i="1"/>
  <c r="A992" i="1"/>
  <c r="A980" i="1"/>
  <c r="A968" i="1"/>
  <c r="A956" i="1"/>
  <c r="A944" i="1"/>
  <c r="A932" i="1"/>
  <c r="A920" i="1"/>
  <c r="A908" i="1"/>
  <c r="A896" i="1"/>
  <c r="A884" i="1"/>
  <c r="A872" i="1"/>
  <c r="A860" i="1"/>
  <c r="A848" i="1"/>
  <c r="A836" i="1"/>
  <c r="A824" i="1"/>
  <c r="A812" i="1"/>
  <c r="A800" i="1"/>
  <c r="A788" i="1"/>
  <c r="A776" i="1"/>
  <c r="A764" i="1"/>
  <c r="A752" i="1"/>
  <c r="A740" i="1"/>
  <c r="A728" i="1"/>
  <c r="A716" i="1"/>
  <c r="A704" i="1"/>
  <c r="A692" i="1"/>
  <c r="A680" i="1"/>
  <c r="A668" i="1"/>
  <c r="A656" i="1"/>
  <c r="A644" i="1"/>
  <c r="A632" i="1"/>
  <c r="A620" i="1"/>
  <c r="A608" i="1"/>
  <c r="A596" i="1"/>
  <c r="A584" i="1"/>
  <c r="A572" i="1"/>
  <c r="A560" i="1"/>
  <c r="A548" i="1"/>
  <c r="A536" i="1"/>
  <c r="A524" i="1"/>
  <c r="A512" i="1"/>
  <c r="A500" i="1"/>
  <c r="A488" i="1"/>
  <c r="A476" i="1"/>
  <c r="A464" i="1"/>
  <c r="A452" i="1"/>
  <c r="A440" i="1"/>
  <c r="A428" i="1"/>
  <c r="A416" i="1"/>
  <c r="A404" i="1"/>
  <c r="A392" i="1"/>
  <c r="A380" i="1"/>
  <c r="A368" i="1"/>
  <c r="A356" i="1"/>
  <c r="A344" i="1"/>
  <c r="A332" i="1"/>
  <c r="A320" i="1"/>
  <c r="A308" i="1"/>
  <c r="A296" i="1"/>
  <c r="A284" i="1"/>
  <c r="A272" i="1"/>
  <c r="A260" i="1"/>
  <c r="A248" i="1"/>
  <c r="A236" i="1"/>
  <c r="A224" i="1"/>
  <c r="A212" i="1"/>
  <c r="A200" i="1"/>
  <c r="A188" i="1"/>
  <c r="A176" i="1"/>
  <c r="A164" i="1"/>
  <c r="A152" i="1"/>
  <c r="A140" i="1"/>
  <c r="A128" i="1"/>
  <c r="A116" i="1"/>
  <c r="A104" i="1"/>
  <c r="A92" i="1"/>
  <c r="A80" i="1"/>
  <c r="A68" i="1"/>
  <c r="A56" i="1"/>
  <c r="A44" i="1"/>
  <c r="A32" i="1"/>
  <c r="A20" i="1"/>
  <c r="A8" i="1"/>
  <c r="A931" i="1"/>
  <c r="A919" i="1"/>
  <c r="A907" i="1"/>
  <c r="A895" i="1"/>
  <c r="A883" i="1"/>
  <c r="A871" i="1"/>
  <c r="A859" i="1"/>
  <c r="A847" i="1"/>
  <c r="A835" i="1"/>
  <c r="A823" i="1"/>
  <c r="A811" i="1"/>
  <c r="A799" i="1"/>
  <c r="A787" i="1"/>
  <c r="A775" i="1"/>
  <c r="A763" i="1"/>
  <c r="A751" i="1"/>
  <c r="A739" i="1"/>
  <c r="A727" i="1"/>
  <c r="A715" i="1"/>
  <c r="A703" i="1"/>
  <c r="A691" i="1"/>
  <c r="A679" i="1"/>
  <c r="A667" i="1"/>
  <c r="A655" i="1"/>
  <c r="A643" i="1"/>
  <c r="A631" i="1"/>
  <c r="A619" i="1"/>
  <c r="A607" i="1"/>
  <c r="A595" i="1"/>
  <c r="A583" i="1"/>
  <c r="A571" i="1"/>
  <c r="A559" i="1"/>
  <c r="A547" i="1"/>
  <c r="A535" i="1"/>
  <c r="A523" i="1"/>
  <c r="A511" i="1"/>
  <c r="A499" i="1"/>
  <c r="A487" i="1"/>
  <c r="A475" i="1"/>
  <c r="A463" i="1"/>
  <c r="A451" i="1"/>
  <c r="A439" i="1"/>
  <c r="A427" i="1"/>
  <c r="A415" i="1"/>
  <c r="A403" i="1"/>
  <c r="A391" i="1"/>
  <c r="A379" i="1"/>
  <c r="A367" i="1"/>
  <c r="A355" i="1"/>
  <c r="A343" i="1"/>
  <c r="A331" i="1"/>
  <c r="A319" i="1"/>
  <c r="A307" i="1"/>
  <c r="A295" i="1"/>
  <c r="A283" i="1"/>
  <c r="A271" i="1"/>
  <c r="A259" i="1"/>
  <c r="A247" i="1"/>
  <c r="A235" i="1"/>
  <c r="A223" i="1"/>
  <c r="A211" i="1"/>
  <c r="A199" i="1"/>
  <c r="A187" i="1"/>
  <c r="A175" i="1"/>
  <c r="A163" i="1"/>
  <c r="A151" i="1"/>
  <c r="A139" i="1"/>
  <c r="A127" i="1"/>
  <c r="A115" i="1"/>
  <c r="A103" i="1"/>
  <c r="A91" i="1"/>
  <c r="A79" i="1"/>
  <c r="A67" i="1"/>
  <c r="A55" i="1"/>
  <c r="A43" i="1"/>
  <c r="A31" i="1"/>
  <c r="A19" i="1"/>
  <c r="A7" i="1"/>
  <c r="A1014" i="1"/>
  <c r="A1002" i="1"/>
  <c r="A990" i="1"/>
  <c r="A978" i="1"/>
  <c r="A966" i="1"/>
  <c r="A954" i="1"/>
  <c r="A942" i="1"/>
  <c r="A930" i="1"/>
  <c r="A918" i="1"/>
  <c r="A906" i="1"/>
  <c r="A894" i="1"/>
  <c r="A882" i="1"/>
  <c r="A870" i="1"/>
  <c r="A858" i="1"/>
  <c r="A846" i="1"/>
  <c r="A834" i="1"/>
  <c r="A822" i="1"/>
  <c r="A810" i="1"/>
  <c r="A798" i="1"/>
  <c r="A786" i="1"/>
  <c r="A774" i="1"/>
  <c r="A762" i="1"/>
  <c r="A750" i="1"/>
  <c r="A738" i="1"/>
  <c r="A726" i="1"/>
  <c r="A714" i="1"/>
  <c r="A702" i="1"/>
  <c r="A690" i="1"/>
  <c r="A678" i="1"/>
  <c r="A666" i="1"/>
  <c r="A654" i="1"/>
  <c r="A642" i="1"/>
  <c r="A630" i="1"/>
  <c r="A618" i="1"/>
  <c r="A606" i="1"/>
  <c r="A594" i="1"/>
  <c r="A582" i="1"/>
  <c r="A570" i="1"/>
  <c r="A558" i="1"/>
  <c r="A546" i="1"/>
  <c r="A534" i="1"/>
  <c r="A522" i="1"/>
  <c r="A510" i="1"/>
  <c r="A498" i="1"/>
  <c r="A486" i="1"/>
  <c r="A474" i="1"/>
  <c r="A462" i="1"/>
  <c r="A450" i="1"/>
  <c r="A438" i="1"/>
  <c r="A426" i="1"/>
  <c r="A414" i="1"/>
  <c r="A402" i="1"/>
  <c r="A390" i="1"/>
  <c r="A378" i="1"/>
  <c r="A366" i="1"/>
  <c r="A354" i="1"/>
  <c r="A342" i="1"/>
  <c r="A330" i="1"/>
  <c r="A318" i="1"/>
  <c r="A306" i="1"/>
  <c r="A294" i="1"/>
  <c r="A282" i="1"/>
  <c r="A270" i="1"/>
  <c r="A258" i="1"/>
  <c r="A246" i="1"/>
  <c r="A234" i="1"/>
  <c r="A222" i="1"/>
  <c r="A210" i="1"/>
  <c r="A198" i="1"/>
  <c r="A186" i="1"/>
  <c r="A174" i="1"/>
  <c r="A162" i="1"/>
  <c r="A150" i="1"/>
  <c r="A138" i="1"/>
  <c r="A126" i="1"/>
  <c r="A114" i="1"/>
  <c r="A102" i="1"/>
  <c r="A90" i="1"/>
  <c r="A78" i="1"/>
  <c r="A66" i="1"/>
  <c r="A54" i="1"/>
  <c r="A42" i="1"/>
  <c r="A30" i="1"/>
  <c r="A18" i="1"/>
  <c r="A6" i="1"/>
  <c r="A1001" i="1"/>
  <c r="A989" i="1"/>
  <c r="A977" i="1"/>
  <c r="A965" i="1"/>
  <c r="A953" i="1"/>
  <c r="A941" i="1"/>
  <c r="A929" i="1"/>
  <c r="A917" i="1"/>
  <c r="A905" i="1"/>
  <c r="A893" i="1"/>
  <c r="A881" i="1"/>
  <c r="A869" i="1"/>
  <c r="A857" i="1"/>
  <c r="A845" i="1"/>
  <c r="A833" i="1"/>
  <c r="A821" i="1"/>
  <c r="A809" i="1"/>
  <c r="A797" i="1"/>
  <c r="A785" i="1"/>
  <c r="A773" i="1"/>
  <c r="A761" i="1"/>
  <c r="A749" i="1"/>
  <c r="A737" i="1"/>
  <c r="A725" i="1"/>
  <c r="A713" i="1"/>
  <c r="A701" i="1"/>
  <c r="A689" i="1"/>
  <c r="A677" i="1"/>
  <c r="A665" i="1"/>
  <c r="A653" i="1"/>
  <c r="A641" i="1"/>
  <c r="A629" i="1"/>
  <c r="A617" i="1"/>
  <c r="A605" i="1"/>
  <c r="A593" i="1"/>
  <c r="A581" i="1"/>
  <c r="A569" i="1"/>
  <c r="A557" i="1"/>
  <c r="A545" i="1"/>
  <c r="A533" i="1"/>
  <c r="A521" i="1"/>
  <c r="A509" i="1"/>
  <c r="A497" i="1"/>
  <c r="A485" i="1"/>
  <c r="A473" i="1"/>
  <c r="A461" i="1"/>
  <c r="A449" i="1"/>
  <c r="A437" i="1"/>
  <c r="A425" i="1"/>
  <c r="A413" i="1"/>
  <c r="A401" i="1"/>
  <c r="A389" i="1"/>
  <c r="A377" i="1"/>
  <c r="A365" i="1"/>
  <c r="A353" i="1"/>
  <c r="A341" i="1"/>
  <c r="A329" i="1"/>
  <c r="A317" i="1"/>
  <c r="A305" i="1"/>
  <c r="A293" i="1"/>
  <c r="A281" i="1"/>
  <c r="A269" i="1"/>
  <c r="A257" i="1"/>
  <c r="A245" i="1"/>
  <c r="A233" i="1"/>
  <c r="A221" i="1"/>
  <c r="A209" i="1"/>
  <c r="A197" i="1"/>
  <c r="A185" i="1"/>
  <c r="A173" i="1"/>
  <c r="A161" i="1"/>
  <c r="A149" i="1"/>
  <c r="A137" i="1"/>
  <c r="A125" i="1"/>
  <c r="A113" i="1"/>
  <c r="A101" i="1"/>
  <c r="A89" i="1"/>
  <c r="A77" i="1"/>
  <c r="A65" i="1"/>
  <c r="A53" i="1"/>
  <c r="A41" i="1"/>
  <c r="A29" i="1"/>
  <c r="A17" i="1"/>
  <c r="A5" i="1"/>
  <c r="A1012" i="1"/>
  <c r="A1000" i="1"/>
  <c r="A988" i="1"/>
  <c r="A976" i="1"/>
  <c r="A964" i="1"/>
  <c r="A952" i="1"/>
  <c r="A940" i="1"/>
  <c r="A928" i="1"/>
  <c r="A916" i="1"/>
  <c r="A904" i="1"/>
  <c r="A892" i="1"/>
  <c r="A880" i="1"/>
  <c r="A868" i="1"/>
  <c r="A856" i="1"/>
  <c r="A844" i="1"/>
  <c r="A832" i="1"/>
  <c r="A820" i="1"/>
  <c r="A808" i="1"/>
  <c r="A796" i="1"/>
  <c r="A784" i="1"/>
  <c r="A772" i="1"/>
  <c r="A760" i="1"/>
  <c r="A748" i="1"/>
  <c r="A736" i="1"/>
  <c r="A724" i="1"/>
  <c r="A712" i="1"/>
  <c r="A700" i="1"/>
  <c r="A688" i="1"/>
  <c r="A676" i="1"/>
  <c r="A664" i="1"/>
  <c r="A652" i="1"/>
  <c r="A640" i="1"/>
  <c r="A628" i="1"/>
  <c r="A616" i="1"/>
  <c r="A604" i="1"/>
  <c r="A592" i="1"/>
  <c r="A580" i="1"/>
  <c r="A568" i="1"/>
  <c r="A556" i="1"/>
  <c r="A544" i="1"/>
  <c r="A532" i="1"/>
  <c r="A520" i="1"/>
  <c r="A508" i="1"/>
  <c r="A496" i="1"/>
  <c r="A484" i="1"/>
  <c r="A472" i="1"/>
  <c r="A460" i="1"/>
  <c r="A448" i="1"/>
  <c r="A436" i="1"/>
  <c r="A424" i="1"/>
  <c r="A412" i="1"/>
  <c r="A400" i="1"/>
  <c r="A388" i="1"/>
  <c r="A376" i="1"/>
  <c r="A364" i="1"/>
  <c r="A352" i="1"/>
  <c r="A340" i="1"/>
  <c r="A328" i="1"/>
  <c r="A316" i="1"/>
  <c r="A304" i="1"/>
  <c r="A292" i="1"/>
  <c r="A280" i="1"/>
  <c r="A268" i="1"/>
  <c r="A256" i="1"/>
  <c r="A244" i="1"/>
  <c r="A232" i="1"/>
  <c r="A220" i="1"/>
  <c r="A208" i="1"/>
  <c r="A196" i="1"/>
  <c r="A184" i="1"/>
  <c r="A172" i="1"/>
  <c r="A160" i="1"/>
  <c r="A148" i="1"/>
  <c r="A136" i="1"/>
  <c r="A124" i="1"/>
  <c r="A112" i="1"/>
  <c r="A100" i="1"/>
  <c r="A88" i="1"/>
  <c r="A76" i="1"/>
  <c r="A64" i="1"/>
  <c r="A52" i="1"/>
  <c r="A40" i="1"/>
  <c r="A28" i="1"/>
  <c r="A16" i="1"/>
  <c r="A4" i="1"/>
  <c r="A1011" i="1"/>
  <c r="A999" i="1"/>
  <c r="A987" i="1"/>
  <c r="A975" i="1"/>
  <c r="A963" i="1"/>
  <c r="A951" i="1"/>
  <c r="A939" i="1"/>
  <c r="A927" i="1"/>
  <c r="A915" i="1"/>
  <c r="A903" i="1"/>
  <c r="A891" i="1"/>
  <c r="A879" i="1"/>
  <c r="A867" i="1"/>
  <c r="A855" i="1"/>
  <c r="A843" i="1"/>
  <c r="A831" i="1"/>
  <c r="A819" i="1"/>
  <c r="A807" i="1"/>
  <c r="A795" i="1"/>
  <c r="A783" i="1"/>
  <c r="A771" i="1"/>
  <c r="A759" i="1"/>
  <c r="A747" i="1"/>
  <c r="A735" i="1"/>
  <c r="A723" i="1"/>
  <c r="A711" i="1"/>
  <c r="A699" i="1"/>
  <c r="A687" i="1"/>
  <c r="A675" i="1"/>
  <c r="A663" i="1"/>
  <c r="A651" i="1"/>
  <c r="A639" i="1"/>
  <c r="A627" i="1"/>
  <c r="A615" i="1"/>
  <c r="A603" i="1"/>
  <c r="A591" i="1"/>
  <c r="A579" i="1"/>
  <c r="A567" i="1"/>
  <c r="A555" i="1"/>
  <c r="A543" i="1"/>
  <c r="A531" i="1"/>
  <c r="A519" i="1"/>
  <c r="A507" i="1"/>
  <c r="A495" i="1"/>
  <c r="A483" i="1"/>
  <c r="A471" i="1"/>
  <c r="A459" i="1"/>
  <c r="A447" i="1"/>
  <c r="A435" i="1"/>
  <c r="A423" i="1"/>
  <c r="A411" i="1"/>
  <c r="A399" i="1"/>
  <c r="A387" i="1"/>
  <c r="A375" i="1"/>
  <c r="A363" i="1"/>
  <c r="A351" i="1"/>
  <c r="A339" i="1"/>
  <c r="A327" i="1"/>
  <c r="A315" i="1"/>
  <c r="A303" i="1"/>
  <c r="A291" i="1"/>
  <c r="A279" i="1"/>
  <c r="A267" i="1"/>
  <c r="A255" i="1"/>
  <c r="A243" i="1"/>
  <c r="A231" i="1"/>
  <c r="A219" i="1"/>
  <c r="A207" i="1"/>
  <c r="A195" i="1"/>
  <c r="A183" i="1"/>
  <c r="A171" i="1"/>
  <c r="A159" i="1"/>
  <c r="A147" i="1"/>
  <c r="A135" i="1"/>
  <c r="A123" i="1"/>
  <c r="A111" i="1"/>
  <c r="A99" i="1"/>
  <c r="A87" i="1"/>
  <c r="A75" i="1"/>
  <c r="A63" i="1"/>
  <c r="A51" i="1"/>
  <c r="A39" i="1"/>
  <c r="A27" i="1"/>
  <c r="A15" i="1"/>
  <c r="A3" i="1"/>
  <c r="A998" i="1"/>
  <c r="A986" i="1"/>
  <c r="A974" i="1"/>
  <c r="A962" i="1"/>
  <c r="A950" i="1"/>
  <c r="A938" i="1"/>
  <c r="A926" i="1"/>
  <c r="A914" i="1"/>
  <c r="A902" i="1"/>
  <c r="A890" i="1"/>
  <c r="A878" i="1"/>
  <c r="A866" i="1"/>
  <c r="A854" i="1"/>
  <c r="A842" i="1"/>
  <c r="A830" i="1"/>
  <c r="A818" i="1"/>
  <c r="A806" i="1"/>
  <c r="A794" i="1"/>
  <c r="A782" i="1"/>
  <c r="A770" i="1"/>
  <c r="A758" i="1"/>
  <c r="A746" i="1"/>
  <c r="A734" i="1"/>
  <c r="A722" i="1"/>
  <c r="A710" i="1"/>
  <c r="A698" i="1"/>
  <c r="A686" i="1"/>
  <c r="A674" i="1"/>
  <c r="A662" i="1"/>
  <c r="A650" i="1"/>
  <c r="A638" i="1"/>
  <c r="A626" i="1"/>
  <c r="A614" i="1"/>
  <c r="A602" i="1"/>
  <c r="A590" i="1"/>
  <c r="A578" i="1"/>
  <c r="A566" i="1"/>
  <c r="A554" i="1"/>
  <c r="A542" i="1"/>
  <c r="A530" i="1"/>
  <c r="A518" i="1"/>
  <c r="A506" i="1"/>
  <c r="A494" i="1"/>
  <c r="A482" i="1"/>
  <c r="A470" i="1"/>
  <c r="A458" i="1"/>
  <c r="A446" i="1"/>
  <c r="A434" i="1"/>
  <c r="A422" i="1"/>
  <c r="A410" i="1"/>
  <c r="A398" i="1"/>
  <c r="A386" i="1"/>
  <c r="A374" i="1"/>
  <c r="A362" i="1"/>
  <c r="A350" i="1"/>
  <c r="A338" i="1"/>
  <c r="A326" i="1"/>
  <c r="A314" i="1"/>
  <c r="A302" i="1"/>
  <c r="A290" i="1"/>
  <c r="A278" i="1"/>
  <c r="A266" i="1"/>
  <c r="A254" i="1"/>
  <c r="A242" i="1"/>
  <c r="A230" i="1"/>
  <c r="A218" i="1"/>
  <c r="A206" i="1"/>
  <c r="A194" i="1"/>
  <c r="A182" i="1"/>
  <c r="A170" i="1"/>
  <c r="A158" i="1"/>
  <c r="A146" i="1"/>
  <c r="A134" i="1"/>
  <c r="A122" i="1"/>
  <c r="A110" i="1"/>
  <c r="A98" i="1"/>
  <c r="A86" i="1"/>
  <c r="A74" i="1"/>
  <c r="A62" i="1"/>
  <c r="A50" i="1"/>
  <c r="A38" i="1"/>
  <c r="A26" i="1"/>
  <c r="A14" i="1"/>
  <c r="A2" i="1"/>
  <c r="A1009" i="1"/>
  <c r="A997" i="1"/>
  <c r="A985" i="1"/>
  <c r="A973" i="1"/>
  <c r="A961" i="1"/>
  <c r="A949" i="1"/>
  <c r="A937" i="1"/>
  <c r="A925" i="1"/>
  <c r="A913" i="1"/>
  <c r="A901" i="1"/>
  <c r="A889" i="1"/>
  <c r="A877" i="1"/>
  <c r="A865" i="1"/>
  <c r="A853" i="1"/>
  <c r="A841" i="1"/>
  <c r="A829" i="1"/>
  <c r="A817" i="1"/>
  <c r="A805" i="1"/>
  <c r="A793" i="1"/>
  <c r="A781" i="1"/>
  <c r="A769" i="1"/>
  <c r="A757" i="1"/>
  <c r="A745" i="1"/>
  <c r="A733" i="1"/>
  <c r="A721" i="1"/>
  <c r="A709" i="1"/>
  <c r="A697" i="1"/>
  <c r="A685" i="1"/>
  <c r="A673" i="1"/>
  <c r="A661" i="1"/>
  <c r="A649" i="1"/>
  <c r="A637" i="1"/>
  <c r="A625" i="1"/>
  <c r="A613" i="1"/>
  <c r="A601" i="1"/>
  <c r="A589" i="1"/>
  <c r="A577" i="1"/>
  <c r="A565" i="1"/>
  <c r="A553" i="1"/>
  <c r="A541" i="1"/>
  <c r="A529" i="1"/>
  <c r="A517" i="1"/>
  <c r="A505" i="1"/>
  <c r="A493" i="1"/>
  <c r="A481" i="1"/>
  <c r="A469" i="1"/>
  <c r="A457" i="1"/>
  <c r="A445" i="1"/>
  <c r="A433" i="1"/>
  <c r="A421" i="1"/>
  <c r="A409" i="1"/>
  <c r="A397" i="1"/>
  <c r="A385" i="1"/>
  <c r="A373" i="1"/>
  <c r="A361" i="1"/>
  <c r="A349" i="1"/>
  <c r="A337" i="1"/>
  <c r="A325" i="1"/>
  <c r="A313" i="1"/>
  <c r="A301" i="1"/>
  <c r="A289" i="1"/>
  <c r="A277" i="1"/>
  <c r="A265" i="1"/>
  <c r="A253" i="1"/>
  <c r="A241" i="1"/>
  <c r="A229" i="1"/>
  <c r="A217" i="1"/>
  <c r="A205" i="1"/>
  <c r="A193" i="1"/>
  <c r="A181" i="1"/>
  <c r="A169" i="1"/>
  <c r="A157" i="1"/>
  <c r="A145" i="1"/>
  <c r="A133" i="1"/>
  <c r="A121" i="1"/>
  <c r="A109" i="1"/>
  <c r="A97" i="1"/>
  <c r="A85" i="1"/>
  <c r="A73" i="1"/>
  <c r="A61" i="1"/>
  <c r="A49" i="1"/>
  <c r="A37" i="1"/>
  <c r="A25" i="1"/>
  <c r="A13" i="1"/>
  <c r="A1" i="1"/>
  <c r="A1008" i="1"/>
  <c r="A996" i="1"/>
  <c r="A984" i="1"/>
  <c r="A972" i="1"/>
  <c r="A960" i="1"/>
  <c r="A948" i="1"/>
  <c r="A936" i="1"/>
  <c r="A924" i="1"/>
  <c r="A912" i="1"/>
  <c r="A900" i="1"/>
  <c r="A888" i="1"/>
  <c r="A876" i="1"/>
  <c r="A864" i="1"/>
  <c r="A852" i="1"/>
  <c r="A840" i="1"/>
  <c r="A828" i="1"/>
  <c r="A816" i="1"/>
  <c r="A804" i="1"/>
  <c r="A792" i="1"/>
  <c r="A780" i="1"/>
  <c r="A768" i="1"/>
  <c r="A756" i="1"/>
  <c r="A744" i="1"/>
  <c r="A732" i="1"/>
  <c r="A720" i="1"/>
  <c r="A708" i="1"/>
  <c r="A696" i="1"/>
  <c r="A684" i="1"/>
  <c r="A672" i="1"/>
  <c r="A660" i="1"/>
  <c r="A648" i="1"/>
  <c r="A636" i="1"/>
  <c r="A624" i="1"/>
  <c r="A612" i="1"/>
  <c r="A600" i="1"/>
  <c r="A588" i="1"/>
  <c r="A576" i="1"/>
  <c r="A564" i="1"/>
  <c r="A552" i="1"/>
  <c r="A540" i="1"/>
  <c r="A528" i="1"/>
  <c r="A516" i="1"/>
  <c r="A504" i="1"/>
  <c r="A492" i="1"/>
  <c r="A480" i="1"/>
  <c r="A468" i="1"/>
  <c r="A456" i="1"/>
  <c r="A444" i="1"/>
  <c r="A432" i="1"/>
  <c r="A420" i="1"/>
  <c r="A408" i="1"/>
  <c r="A396" i="1"/>
  <c r="A384" i="1"/>
  <c r="A372" i="1"/>
  <c r="A360" i="1"/>
  <c r="A348" i="1"/>
  <c r="A336" i="1"/>
  <c r="A324" i="1"/>
  <c r="A312" i="1"/>
  <c r="A300" i="1"/>
  <c r="A288" i="1"/>
  <c r="A276" i="1"/>
  <c r="A264" i="1"/>
  <c r="A252" i="1"/>
  <c r="A240" i="1"/>
  <c r="A228" i="1"/>
  <c r="A216" i="1"/>
  <c r="A204" i="1"/>
  <c r="A192" i="1"/>
  <c r="A180" i="1"/>
  <c r="A168" i="1"/>
  <c r="A156" i="1"/>
  <c r="A144" i="1"/>
  <c r="A132" i="1"/>
  <c r="A120" i="1"/>
  <c r="A108" i="1"/>
  <c r="A96" i="1"/>
  <c r="A84" i="1"/>
  <c r="A72" i="1"/>
  <c r="A60" i="1"/>
  <c r="A48" i="1"/>
  <c r="A36" i="1"/>
  <c r="A24" i="1"/>
  <c r="G3" i="1"/>
  <c r="H3" i="1" l="1" a="1"/>
  <c r="H3" i="1" s="1"/>
  <c r="B19" i="15"/>
  <c r="F4" i="1" a="1"/>
  <c r="F4" i="1" s="1"/>
  <c r="S26" i="1"/>
  <c r="S18" i="1"/>
  <c r="S10" i="1"/>
  <c r="S2" i="1"/>
  <c r="J3" i="1"/>
  <c r="L3" i="1"/>
  <c r="M3" i="1"/>
  <c r="G4" i="1" a="1"/>
  <c r="K3" i="1"/>
  <c r="F5" i="1" a="1"/>
  <c r="N3" i="1"/>
  <c r="I3" i="1"/>
  <c r="P3" i="1"/>
  <c r="O3" i="1"/>
  <c r="Q3" i="1" l="1"/>
  <c r="C19" i="15"/>
  <c r="F5" i="1"/>
  <c r="G4" i="1"/>
  <c r="E17" i="15" l="1"/>
  <c r="H4" i="1" a="1"/>
  <c r="H4" i="1" s="1"/>
  <c r="G5" i="1" a="1"/>
  <c r="I4" i="1"/>
  <c r="O4" i="1"/>
  <c r="P4" i="1"/>
  <c r="J4" i="1"/>
  <c r="M4" i="1"/>
  <c r="N4" i="1"/>
  <c r="F6" i="1" a="1"/>
  <c r="K4" i="1"/>
  <c r="L4" i="1"/>
  <c r="F6" i="1" l="1"/>
  <c r="Q4" i="1"/>
  <c r="F17" i="15"/>
  <c r="G5" i="1"/>
  <c r="B97" i="15" l="1"/>
  <c r="H5" i="1" a="1"/>
  <c r="H5" i="1" s="1"/>
  <c r="K5" i="1"/>
  <c r="N5" i="1"/>
  <c r="G6" i="1" a="1"/>
  <c r="J5" i="1"/>
  <c r="I5" i="1"/>
  <c r="M5" i="1"/>
  <c r="F7" i="1" a="1"/>
  <c r="P5" i="1"/>
  <c r="L5" i="1"/>
  <c r="O5" i="1"/>
  <c r="F7" i="1" l="1"/>
  <c r="Q5" i="1"/>
  <c r="C97" i="15"/>
  <c r="G6" i="1"/>
  <c r="E15" i="15" l="1"/>
  <c r="H6" i="1" a="1"/>
  <c r="H6" i="1" s="1"/>
  <c r="O6" i="1"/>
  <c r="I6" i="1"/>
  <c r="G7" i="1" a="1"/>
  <c r="M6" i="1"/>
  <c r="J6" i="1"/>
  <c r="L6" i="1"/>
  <c r="F8" i="1" a="1"/>
  <c r="P6" i="1"/>
  <c r="N6" i="1"/>
  <c r="K6" i="1"/>
  <c r="F8" i="1" l="1"/>
  <c r="G7" i="1"/>
  <c r="Q6" i="1"/>
  <c r="F15" i="15"/>
  <c r="B37" i="15" l="1"/>
  <c r="H7" i="1" a="1"/>
  <c r="H7" i="1" s="1"/>
  <c r="F9" i="1" a="1"/>
  <c r="I7" i="1"/>
  <c r="O7" i="1"/>
  <c r="L7" i="1"/>
  <c r="G8" i="1" a="1"/>
  <c r="N7" i="1"/>
  <c r="P7" i="1"/>
  <c r="K7" i="1"/>
  <c r="M7" i="1"/>
  <c r="J7" i="1"/>
  <c r="G8" i="1" l="1"/>
  <c r="C37" i="15"/>
  <c r="Q7" i="1"/>
  <c r="F9" i="1"/>
  <c r="E6" i="15" l="1"/>
  <c r="H8" i="1" a="1"/>
  <c r="H8" i="1" s="1"/>
  <c r="F10" i="1" a="1"/>
  <c r="J8" i="1"/>
  <c r="N8" i="1"/>
  <c r="M8" i="1"/>
  <c r="G9" i="1" a="1"/>
  <c r="I8" i="1"/>
  <c r="K8" i="1"/>
  <c r="O8" i="1"/>
  <c r="L8" i="1"/>
  <c r="P8" i="1"/>
  <c r="Q8" i="1" l="1"/>
  <c r="F6" i="15"/>
  <c r="G9" i="1"/>
  <c r="F10" i="1"/>
  <c r="B39" i="15" l="1"/>
  <c r="H9" i="1" a="1"/>
  <c r="H9" i="1" s="1"/>
  <c r="G10" i="1" a="1"/>
  <c r="N9" i="1"/>
  <c r="J9" i="1"/>
  <c r="I9" i="1"/>
  <c r="L9" i="1"/>
  <c r="F11" i="1" a="1"/>
  <c r="M9" i="1"/>
  <c r="K9" i="1"/>
  <c r="O9" i="1"/>
  <c r="P9" i="1"/>
  <c r="F11" i="1" l="1"/>
  <c r="Q9" i="1"/>
  <c r="C39" i="15"/>
  <c r="G10" i="1"/>
  <c r="B21" i="15" l="1"/>
  <c r="H10" i="1" a="1"/>
  <c r="H10" i="1" s="1"/>
  <c r="K10" i="1"/>
  <c r="M10" i="1"/>
  <c r="F12" i="1" a="1"/>
  <c r="L10" i="1"/>
  <c r="G11" i="1" a="1"/>
  <c r="P10" i="1"/>
  <c r="I10" i="1"/>
  <c r="O10" i="1"/>
  <c r="J10" i="1"/>
  <c r="N10" i="1"/>
  <c r="Q10" i="1" l="1"/>
  <c r="C21" i="15"/>
  <c r="G11" i="1"/>
  <c r="F12" i="1"/>
  <c r="E7" i="15" l="1"/>
  <c r="H11" i="1" a="1"/>
  <c r="H11" i="1" s="1"/>
  <c r="G12" i="1" a="1"/>
  <c r="L11" i="1"/>
  <c r="N11" i="1"/>
  <c r="O11" i="1"/>
  <c r="F13" i="1" a="1"/>
  <c r="M11" i="1"/>
  <c r="K11" i="1"/>
  <c r="I11" i="1"/>
  <c r="P11" i="1"/>
  <c r="J11" i="1"/>
  <c r="Q11" i="1" l="1"/>
  <c r="F7" i="15"/>
  <c r="F13" i="1"/>
  <c r="G12" i="1"/>
  <c r="H12" i="1" l="1" a="1"/>
  <c r="H12" i="1" s="1"/>
  <c r="B64" i="15"/>
  <c r="O12" i="1"/>
  <c r="P12" i="1"/>
  <c r="I12" i="1"/>
  <c r="G13" i="1" a="1"/>
  <c r="K12" i="1"/>
  <c r="L12" i="1"/>
  <c r="F14" i="1" a="1"/>
  <c r="J12" i="1"/>
  <c r="N12" i="1"/>
  <c r="M12" i="1"/>
  <c r="F14" i="1" l="1"/>
  <c r="G13" i="1"/>
  <c r="Q12" i="1"/>
  <c r="C64" i="15"/>
  <c r="H6" i="15" l="1"/>
  <c r="H13" i="1" a="1"/>
  <c r="H13" i="1" s="1"/>
  <c r="N13" i="1"/>
  <c r="L13" i="1"/>
  <c r="O13" i="1"/>
  <c r="J13" i="1"/>
  <c r="F15" i="1" a="1"/>
  <c r="K13" i="1"/>
  <c r="G14" i="1" a="1"/>
  <c r="M13" i="1"/>
  <c r="I13" i="1"/>
  <c r="P13" i="1"/>
  <c r="Q13" i="1" l="1"/>
  <c r="I6" i="15"/>
  <c r="G14" i="1"/>
  <c r="F15" i="1"/>
  <c r="E5" i="15" l="1"/>
  <c r="H14" i="1" a="1"/>
  <c r="H14" i="1" s="1"/>
  <c r="G15" i="1" a="1"/>
  <c r="K14" i="1"/>
  <c r="M14" i="1"/>
  <c r="N14" i="1"/>
  <c r="I14" i="1"/>
  <c r="J14" i="1"/>
  <c r="O14" i="1"/>
  <c r="L14" i="1"/>
  <c r="P14" i="1"/>
  <c r="F16" i="1" a="1"/>
  <c r="F16" i="1" l="1"/>
  <c r="Q14" i="1"/>
  <c r="F5" i="15"/>
  <c r="G15" i="1"/>
  <c r="B78" i="15" l="1"/>
  <c r="H15" i="1" a="1"/>
  <c r="H15" i="1" s="1"/>
  <c r="K15" i="1"/>
  <c r="J15" i="1"/>
  <c r="F17" i="1" a="1"/>
  <c r="P15" i="1"/>
  <c r="G16" i="1" a="1"/>
  <c r="I15" i="1"/>
  <c r="M15" i="1"/>
  <c r="L15" i="1"/>
  <c r="O15" i="1"/>
  <c r="N15" i="1"/>
  <c r="Q15" i="1" l="1"/>
  <c r="C78" i="15"/>
  <c r="G16" i="1"/>
  <c r="F17" i="1"/>
  <c r="K5" i="15" l="1"/>
  <c r="H16" i="1" a="1"/>
  <c r="H16" i="1" s="1"/>
  <c r="F18" i="1" a="1"/>
  <c r="O16" i="1"/>
  <c r="M16" i="1"/>
  <c r="G17" i="1" a="1"/>
  <c r="L16" i="1"/>
  <c r="I16" i="1"/>
  <c r="K16" i="1"/>
  <c r="J16" i="1"/>
  <c r="P16" i="1"/>
  <c r="N16" i="1"/>
  <c r="Q16" i="1" l="1"/>
  <c r="L5" i="15"/>
  <c r="G17" i="1"/>
  <c r="F18" i="1"/>
  <c r="H17" i="1" l="1" a="1"/>
  <c r="H17" i="1" s="1"/>
  <c r="B14" i="15"/>
  <c r="G18" i="1" a="1"/>
  <c r="P17" i="1"/>
  <c r="O17" i="1"/>
  <c r="K17" i="1"/>
  <c r="N17" i="1"/>
  <c r="F19" i="1" a="1"/>
  <c r="L17" i="1"/>
  <c r="J17" i="1"/>
  <c r="M17" i="1"/>
  <c r="I17" i="1"/>
  <c r="Q17" i="1" l="1"/>
  <c r="C14" i="15"/>
  <c r="F19" i="1"/>
  <c r="G18" i="1"/>
  <c r="B9" i="15" l="1"/>
  <c r="H18" i="1" a="1"/>
  <c r="H18" i="1" s="1"/>
  <c r="M18" i="1"/>
  <c r="G19" i="1" a="1"/>
  <c r="J18" i="1"/>
  <c r="N18" i="1"/>
  <c r="F20" i="1" a="1"/>
  <c r="L18" i="1"/>
  <c r="O18" i="1"/>
  <c r="I18" i="1"/>
  <c r="K18" i="1"/>
  <c r="P18" i="1"/>
  <c r="Q18" i="1" l="1"/>
  <c r="C9" i="15"/>
  <c r="F20" i="1"/>
  <c r="G19" i="1"/>
  <c r="E8" i="15" l="1"/>
  <c r="H19" i="1" a="1"/>
  <c r="H19" i="1" s="1"/>
  <c r="P19" i="1"/>
  <c r="M19" i="1"/>
  <c r="L19" i="1"/>
  <c r="K19" i="1"/>
  <c r="F21" i="1" a="1"/>
  <c r="G20" i="1" a="1"/>
  <c r="O19" i="1"/>
  <c r="I19" i="1"/>
  <c r="N19" i="1"/>
  <c r="J19" i="1"/>
  <c r="F8" i="15" l="1"/>
  <c r="Q19" i="1"/>
  <c r="G20" i="1"/>
  <c r="F21" i="1"/>
  <c r="B91" i="15" l="1"/>
  <c r="H20" i="1" a="1"/>
  <c r="H20" i="1" s="1"/>
  <c r="G21" i="1" a="1"/>
  <c r="J20" i="1"/>
  <c r="K20" i="1"/>
  <c r="I20" i="1"/>
  <c r="F22" i="1" a="1"/>
  <c r="N20" i="1"/>
  <c r="O20" i="1"/>
  <c r="M20" i="1"/>
  <c r="L20" i="1"/>
  <c r="P20" i="1"/>
  <c r="F22" i="1" l="1"/>
  <c r="Q20" i="1"/>
  <c r="C91" i="15"/>
  <c r="G21" i="1"/>
  <c r="B11" i="15" l="1"/>
  <c r="H21" i="1" a="1"/>
  <c r="H21" i="1" s="1"/>
  <c r="K21" i="1"/>
  <c r="O21" i="1"/>
  <c r="I21" i="1"/>
  <c r="P21" i="1"/>
  <c r="F23" i="1" a="1"/>
  <c r="N21" i="1"/>
  <c r="J21" i="1"/>
  <c r="G22" i="1" a="1"/>
  <c r="M21" i="1"/>
  <c r="L21" i="1"/>
  <c r="G22" i="1" l="1"/>
  <c r="F23" i="1"/>
  <c r="Q21" i="1"/>
  <c r="C11" i="15"/>
  <c r="H8" i="15" l="1"/>
  <c r="H22" i="1" a="1"/>
  <c r="H22" i="1" s="1"/>
  <c r="F24" i="1" a="1"/>
  <c r="I22" i="1"/>
  <c r="N22" i="1"/>
  <c r="L22" i="1"/>
  <c r="G23" i="1" a="1"/>
  <c r="M22" i="1"/>
  <c r="J22" i="1"/>
  <c r="P22" i="1"/>
  <c r="K22" i="1"/>
  <c r="O22" i="1"/>
  <c r="G23" i="1" l="1"/>
  <c r="Q22" i="1"/>
  <c r="I8" i="15"/>
  <c r="F24" i="1"/>
  <c r="B92" i="15" l="1"/>
  <c r="H23" i="1" a="1"/>
  <c r="H23" i="1" s="1"/>
  <c r="F25" i="1" a="1"/>
  <c r="N23" i="1"/>
  <c r="O23" i="1"/>
  <c r="J23" i="1"/>
  <c r="L23" i="1"/>
  <c r="G24" i="1" a="1"/>
  <c r="K23" i="1"/>
  <c r="P23" i="1"/>
  <c r="I23" i="1"/>
  <c r="M23" i="1"/>
  <c r="Q23" i="1" l="1"/>
  <c r="C92" i="15"/>
  <c r="G24" i="1"/>
  <c r="F25" i="1"/>
  <c r="B34" i="15" l="1"/>
  <c r="H24" i="1" a="1"/>
  <c r="H24" i="1" s="1"/>
  <c r="F26" i="1" a="1"/>
  <c r="K24" i="1"/>
  <c r="L24" i="1"/>
  <c r="M24" i="1"/>
  <c r="J24" i="1"/>
  <c r="O24" i="1"/>
  <c r="G25" i="1" a="1"/>
  <c r="P24" i="1"/>
  <c r="N24" i="1"/>
  <c r="I24" i="1"/>
  <c r="Q24" i="1" l="1"/>
  <c r="C34" i="15"/>
  <c r="G25" i="1"/>
  <c r="F26" i="1"/>
  <c r="H5" i="15" l="1"/>
  <c r="H25" i="1" a="1"/>
  <c r="H25" i="1" s="1"/>
  <c r="G26" i="1" a="1"/>
  <c r="O25" i="1"/>
  <c r="P25" i="1"/>
  <c r="M25" i="1"/>
  <c r="L25" i="1"/>
  <c r="F27" i="1" a="1"/>
  <c r="J25" i="1"/>
  <c r="I25" i="1"/>
  <c r="N25" i="1"/>
  <c r="K25" i="1"/>
  <c r="Q25" i="1" l="1"/>
  <c r="I5" i="15"/>
  <c r="F27" i="1"/>
  <c r="G26" i="1"/>
  <c r="E13" i="15" l="1"/>
  <c r="H26" i="1" a="1"/>
  <c r="H26" i="1" s="1"/>
  <c r="L26" i="1"/>
  <c r="O26" i="1"/>
  <c r="M26" i="1"/>
  <c r="G27" i="1" a="1"/>
  <c r="K26" i="1"/>
  <c r="F28" i="1" a="1"/>
  <c r="P26" i="1"/>
  <c r="I26" i="1"/>
  <c r="N26" i="1"/>
  <c r="J26" i="1"/>
  <c r="Q26" i="1" l="1"/>
  <c r="F13" i="15"/>
  <c r="F28" i="1"/>
  <c r="G27" i="1"/>
  <c r="E10" i="15" l="1"/>
  <c r="H27" i="1" a="1"/>
  <c r="H27" i="1" s="1"/>
  <c r="M27" i="1"/>
  <c r="N27" i="1"/>
  <c r="O27" i="1"/>
  <c r="F29" i="1" a="1"/>
  <c r="J27" i="1"/>
  <c r="P27" i="1"/>
  <c r="G28" i="1" a="1"/>
  <c r="I27" i="1"/>
  <c r="K27" i="1"/>
  <c r="L27" i="1"/>
  <c r="Q27" i="1" l="1"/>
  <c r="F10" i="15"/>
  <c r="G28" i="1"/>
  <c r="F29" i="1"/>
  <c r="B63" i="15" l="1"/>
  <c r="H28" i="1" a="1"/>
  <c r="H28" i="1" s="1"/>
  <c r="G29" i="1" a="1"/>
  <c r="M28" i="1"/>
  <c r="K28" i="1"/>
  <c r="J28" i="1"/>
  <c r="I28" i="1"/>
  <c r="F30" i="1" a="1"/>
  <c r="P28" i="1"/>
  <c r="N28" i="1"/>
  <c r="O28" i="1"/>
  <c r="L28" i="1"/>
  <c r="F30" i="1" l="1"/>
  <c r="Q28" i="1"/>
  <c r="C63" i="15"/>
  <c r="G29" i="1"/>
  <c r="E14" i="15" l="1"/>
  <c r="H29" i="1" a="1"/>
  <c r="H29" i="1" s="1"/>
  <c r="O29" i="1"/>
  <c r="N29" i="1"/>
  <c r="F31" i="1" a="1"/>
  <c r="M29" i="1"/>
  <c r="P29" i="1"/>
  <c r="G30" i="1" a="1"/>
  <c r="J29" i="1"/>
  <c r="K29" i="1"/>
  <c r="L29" i="1"/>
  <c r="I29" i="1"/>
  <c r="F14" i="15" l="1"/>
  <c r="Q29" i="1"/>
  <c r="G30" i="1"/>
  <c r="F31" i="1"/>
  <c r="E12" i="15" l="1"/>
  <c r="H30" i="1" a="1"/>
  <c r="H30" i="1" s="1"/>
  <c r="I30" i="1"/>
  <c r="O30" i="1"/>
  <c r="P30" i="1"/>
  <c r="G31" i="1" a="1"/>
  <c r="K30" i="1"/>
  <c r="L30" i="1"/>
  <c r="F32" i="1" a="1"/>
  <c r="M30" i="1"/>
  <c r="J30" i="1"/>
  <c r="N30" i="1"/>
  <c r="F32" i="1" l="1"/>
  <c r="G31" i="1"/>
  <c r="Q30" i="1"/>
  <c r="F12" i="15"/>
  <c r="B44" i="15" l="1"/>
  <c r="H31" i="1" a="1"/>
  <c r="H31" i="1" s="1"/>
  <c r="N31" i="1"/>
  <c r="J31" i="1"/>
  <c r="O31" i="1"/>
  <c r="G32" i="1" a="1"/>
  <c r="M31" i="1"/>
  <c r="K31" i="1"/>
  <c r="F33" i="1" a="1"/>
  <c r="I31" i="1"/>
  <c r="L31" i="1"/>
  <c r="P31" i="1"/>
  <c r="Q31" i="1" l="1"/>
  <c r="C44" i="15"/>
  <c r="F33" i="1"/>
  <c r="G32" i="1"/>
  <c r="B8" i="15" l="1"/>
  <c r="H32" i="1" a="1"/>
  <c r="H32" i="1" s="1"/>
  <c r="K32" i="1"/>
  <c r="N32" i="1"/>
  <c r="L32" i="1"/>
  <c r="F34" i="1" a="1"/>
  <c r="M32" i="1"/>
  <c r="P32" i="1"/>
  <c r="J32" i="1"/>
  <c r="G33" i="1" a="1"/>
  <c r="I32" i="1"/>
  <c r="O32" i="1"/>
  <c r="Q32" i="1" l="1"/>
  <c r="C8" i="15"/>
  <c r="G33" i="1"/>
  <c r="F34" i="1"/>
  <c r="B76" i="15" l="1"/>
  <c r="H33" i="1" a="1"/>
  <c r="H33" i="1" s="1"/>
  <c r="F35" i="1" a="1"/>
  <c r="O33" i="1"/>
  <c r="G34" i="1" a="1"/>
  <c r="J33" i="1"/>
  <c r="M33" i="1"/>
  <c r="I33" i="1"/>
  <c r="L33" i="1"/>
  <c r="P33" i="1"/>
  <c r="K33" i="1"/>
  <c r="N33" i="1"/>
  <c r="Q33" i="1" l="1"/>
  <c r="C76" i="15"/>
  <c r="G34" i="1"/>
  <c r="F35" i="1"/>
  <c r="E9" i="15" l="1"/>
  <c r="H34" i="1" a="1"/>
  <c r="H34" i="1" s="1"/>
  <c r="F36" i="1" a="1"/>
  <c r="O34" i="1"/>
  <c r="L34" i="1"/>
  <c r="K34" i="1"/>
  <c r="M34" i="1"/>
  <c r="G35" i="1" a="1"/>
  <c r="N34" i="1"/>
  <c r="I34" i="1"/>
  <c r="J34" i="1"/>
  <c r="P34" i="1"/>
  <c r="Q34" i="1" l="1"/>
  <c r="F9" i="15"/>
  <c r="G35" i="1"/>
  <c r="F36" i="1"/>
  <c r="B17" i="15" l="1"/>
  <c r="H35" i="1" a="1"/>
  <c r="H35" i="1" s="1"/>
  <c r="F37" i="1" a="1"/>
  <c r="K35" i="1"/>
  <c r="N35" i="1"/>
  <c r="O35" i="1"/>
  <c r="G36" i="1" a="1"/>
  <c r="M35" i="1"/>
  <c r="L35" i="1"/>
  <c r="J35" i="1"/>
  <c r="I35" i="1"/>
  <c r="P35" i="1"/>
  <c r="Q35" i="1" l="1"/>
  <c r="C17" i="15"/>
  <c r="G36" i="1"/>
  <c r="F37" i="1"/>
  <c r="B7" i="15" l="1"/>
  <c r="H36" i="1" a="1"/>
  <c r="H36" i="1" s="1"/>
  <c r="G37" i="1" a="1"/>
  <c r="J36" i="1"/>
  <c r="M36" i="1"/>
  <c r="P36" i="1"/>
  <c r="F38" i="1" a="1"/>
  <c r="N36" i="1"/>
  <c r="K36" i="1"/>
  <c r="O36" i="1"/>
  <c r="L36" i="1"/>
  <c r="I36" i="1"/>
  <c r="Q36" i="1" l="1"/>
  <c r="C7" i="15"/>
  <c r="F38" i="1"/>
  <c r="G37" i="1"/>
  <c r="B31" i="15" l="1"/>
  <c r="H37" i="1" a="1"/>
  <c r="H37" i="1" s="1"/>
  <c r="F39" i="1" a="1"/>
  <c r="K37" i="1"/>
  <c r="G38" i="1" a="1"/>
  <c r="J37" i="1"/>
  <c r="N37" i="1"/>
  <c r="P37" i="1"/>
  <c r="L37" i="1"/>
  <c r="M37" i="1"/>
  <c r="I37" i="1"/>
  <c r="O37" i="1"/>
  <c r="Q37" i="1" l="1"/>
  <c r="C31" i="15"/>
  <c r="G38" i="1"/>
  <c r="F39" i="1"/>
  <c r="B36" i="15" l="1"/>
  <c r="H38" i="1" a="1"/>
  <c r="H38" i="1" s="1"/>
  <c r="G39" i="1" a="1"/>
  <c r="O38" i="1"/>
  <c r="F40" i="1" a="1"/>
  <c r="L38" i="1"/>
  <c r="I38" i="1"/>
  <c r="K38" i="1"/>
  <c r="J38" i="1"/>
  <c r="P38" i="1"/>
  <c r="M38" i="1"/>
  <c r="N38" i="1"/>
  <c r="Q38" i="1" l="1"/>
  <c r="C36" i="15"/>
  <c r="F40" i="1"/>
  <c r="G39" i="1"/>
  <c r="B6" i="15" l="1"/>
  <c r="H39" i="1" a="1"/>
  <c r="H39" i="1" s="1"/>
  <c r="K39" i="1"/>
  <c r="N39" i="1"/>
  <c r="O39" i="1"/>
  <c r="I39" i="1"/>
  <c r="G40" i="1" a="1"/>
  <c r="L39" i="1"/>
  <c r="J39" i="1"/>
  <c r="F41" i="1" a="1"/>
  <c r="M39" i="1"/>
  <c r="P39" i="1"/>
  <c r="F41" i="1" l="1"/>
  <c r="G40" i="1"/>
  <c r="Q39" i="1"/>
  <c r="C6" i="15"/>
  <c r="B71" i="15" l="1"/>
  <c r="H40" i="1" a="1"/>
  <c r="H40" i="1" s="1"/>
  <c r="L40" i="1"/>
  <c r="M40" i="1"/>
  <c r="O40" i="1"/>
  <c r="F42" i="1" a="1"/>
  <c r="N40" i="1"/>
  <c r="G41" i="1" a="1"/>
  <c r="J40" i="1"/>
  <c r="K40" i="1"/>
  <c r="I40" i="1"/>
  <c r="P40" i="1"/>
  <c r="Q40" i="1" l="1"/>
  <c r="C71" i="15"/>
  <c r="G41" i="1"/>
  <c r="F42" i="1"/>
  <c r="B51" i="15" l="1"/>
  <c r="H41" i="1" a="1"/>
  <c r="H41" i="1" s="1"/>
  <c r="G42" i="1" a="1"/>
  <c r="L41" i="1"/>
  <c r="J41" i="1"/>
  <c r="N41" i="1"/>
  <c r="I41" i="1"/>
  <c r="P41" i="1"/>
  <c r="F43" i="1" a="1"/>
  <c r="K41" i="1"/>
  <c r="M41" i="1"/>
  <c r="O41" i="1"/>
  <c r="F43" i="1" l="1"/>
  <c r="Q41" i="1"/>
  <c r="C51" i="15"/>
  <c r="G42" i="1"/>
  <c r="B87" i="15" l="1"/>
  <c r="H42" i="1" a="1"/>
  <c r="H42" i="1" s="1"/>
  <c r="N42" i="1"/>
  <c r="P42" i="1"/>
  <c r="L42" i="1"/>
  <c r="I42" i="1"/>
  <c r="J42" i="1"/>
  <c r="F44" i="1" a="1"/>
  <c r="M42" i="1"/>
  <c r="O42" i="1"/>
  <c r="G43" i="1" a="1"/>
  <c r="K42" i="1"/>
  <c r="G43" i="1" l="1"/>
  <c r="F44" i="1"/>
  <c r="Q42" i="1"/>
  <c r="C87" i="15"/>
  <c r="B62" i="15" l="1"/>
  <c r="H43" i="1" a="1"/>
  <c r="H43" i="1" s="1"/>
  <c r="F45" i="1" a="1"/>
  <c r="I43" i="1"/>
  <c r="K43" i="1"/>
  <c r="N43" i="1"/>
  <c r="G44" i="1" a="1"/>
  <c r="J43" i="1"/>
  <c r="P43" i="1"/>
  <c r="O43" i="1"/>
  <c r="M43" i="1"/>
  <c r="L43" i="1"/>
  <c r="G44" i="1" l="1"/>
  <c r="Q43" i="1"/>
  <c r="C62" i="15"/>
  <c r="F45" i="1"/>
  <c r="B67" i="15" l="1"/>
  <c r="H44" i="1" a="1"/>
  <c r="H44" i="1" s="1"/>
  <c r="F46" i="1" a="1"/>
  <c r="K44" i="1"/>
  <c r="O44" i="1"/>
  <c r="N44" i="1"/>
  <c r="G45" i="1" a="1"/>
  <c r="J44" i="1"/>
  <c r="M44" i="1"/>
  <c r="L44" i="1"/>
  <c r="I44" i="1"/>
  <c r="P44" i="1"/>
  <c r="Q44" i="1" l="1"/>
  <c r="C67" i="15"/>
  <c r="G45" i="1"/>
  <c r="F46" i="1"/>
  <c r="B70" i="15" l="1"/>
  <c r="H45" i="1" a="1"/>
  <c r="H45" i="1" s="1"/>
  <c r="F47" i="1" a="1"/>
  <c r="M45" i="1"/>
  <c r="K45" i="1"/>
  <c r="G46" i="1" a="1"/>
  <c r="I45" i="1"/>
  <c r="L45" i="1"/>
  <c r="J45" i="1"/>
  <c r="O45" i="1"/>
  <c r="P45" i="1"/>
  <c r="N45" i="1"/>
  <c r="Q45" i="1" l="1"/>
  <c r="C70" i="15"/>
  <c r="G46" i="1"/>
  <c r="F47" i="1"/>
  <c r="B24" i="15" l="1"/>
  <c r="H46" i="1" a="1"/>
  <c r="H46" i="1" s="1"/>
  <c r="F48" i="1" a="1"/>
  <c r="K46" i="1"/>
  <c r="N46" i="1"/>
  <c r="J46" i="1"/>
  <c r="M46" i="1"/>
  <c r="O46" i="1"/>
  <c r="G47" i="1" a="1"/>
  <c r="I46" i="1"/>
  <c r="P46" i="1"/>
  <c r="L46" i="1"/>
  <c r="Q46" i="1" l="1"/>
  <c r="C24" i="15"/>
  <c r="G47" i="1"/>
  <c r="F48" i="1"/>
  <c r="B59" i="15" l="1"/>
  <c r="H47" i="1" a="1"/>
  <c r="H47" i="1" s="1"/>
  <c r="G48" i="1" a="1"/>
  <c r="P47" i="1"/>
  <c r="J47" i="1"/>
  <c r="L47" i="1"/>
  <c r="K47" i="1"/>
  <c r="O47" i="1"/>
  <c r="F49" i="1" a="1"/>
  <c r="N47" i="1"/>
  <c r="M47" i="1"/>
  <c r="I47" i="1"/>
  <c r="Q47" i="1" l="1"/>
  <c r="C59" i="15"/>
  <c r="F49" i="1"/>
  <c r="G48" i="1"/>
  <c r="B13" i="15" l="1"/>
  <c r="H48" i="1" a="1"/>
  <c r="H48" i="1" s="1"/>
  <c r="J48" i="1"/>
  <c r="N48" i="1"/>
  <c r="O48" i="1"/>
  <c r="I48" i="1"/>
  <c r="K48" i="1"/>
  <c r="G49" i="1" a="1"/>
  <c r="M48" i="1"/>
  <c r="F50" i="1" a="1"/>
  <c r="L48" i="1"/>
  <c r="P48" i="1"/>
  <c r="F50" i="1" l="1"/>
  <c r="G49" i="1"/>
  <c r="Q48" i="1"/>
  <c r="C13" i="15"/>
  <c r="B82" i="15" l="1"/>
  <c r="H49" i="1" a="1"/>
  <c r="H49" i="1" s="1"/>
  <c r="L49" i="1"/>
  <c r="M49" i="1"/>
  <c r="F51" i="1" a="1"/>
  <c r="I49" i="1"/>
  <c r="O49" i="1"/>
  <c r="G50" i="1" a="1"/>
  <c r="P49" i="1"/>
  <c r="N49" i="1"/>
  <c r="K49" i="1"/>
  <c r="J49" i="1"/>
  <c r="G50" i="1" l="1"/>
  <c r="Q49" i="1"/>
  <c r="C82" i="15"/>
  <c r="F51" i="1"/>
  <c r="E16" i="15" l="1"/>
  <c r="H50" i="1" a="1"/>
  <c r="H50" i="1" s="1"/>
  <c r="F52" i="1" a="1"/>
  <c r="M50" i="1"/>
  <c r="O50" i="1"/>
  <c r="J50" i="1"/>
  <c r="I50" i="1"/>
  <c r="G51" i="1" a="1"/>
  <c r="N50" i="1"/>
  <c r="L50" i="1"/>
  <c r="P50" i="1"/>
  <c r="K50" i="1"/>
  <c r="G51" i="1" l="1"/>
  <c r="Q50" i="1"/>
  <c r="F16" i="15"/>
  <c r="F52" i="1"/>
  <c r="H7" i="15" l="1"/>
  <c r="H51" i="1" a="1"/>
  <c r="H51" i="1" s="1"/>
  <c r="G52" i="1" a="1"/>
  <c r="N51" i="1"/>
  <c r="O51" i="1"/>
  <c r="K51" i="1"/>
  <c r="M51" i="1"/>
  <c r="F53" i="1" a="1"/>
  <c r="P51" i="1"/>
  <c r="J51" i="1"/>
  <c r="L51" i="1"/>
  <c r="I51" i="1"/>
  <c r="Q51" i="1" l="1"/>
  <c r="I7" i="15"/>
  <c r="F53" i="1"/>
  <c r="G52" i="1"/>
  <c r="H52" i="1" l="1" a="1"/>
  <c r="H52" i="1" s="1"/>
  <c r="B5" i="15"/>
  <c r="M52" i="1"/>
  <c r="P52" i="1"/>
  <c r="I52" i="1"/>
  <c r="F54" i="1" a="1"/>
  <c r="J52" i="1"/>
  <c r="G53" i="1" a="1"/>
  <c r="L52" i="1"/>
  <c r="N52" i="1"/>
  <c r="O52" i="1"/>
  <c r="K52" i="1"/>
  <c r="G53" i="1" l="1"/>
  <c r="F54" i="1"/>
  <c r="Q52" i="1"/>
  <c r="C5" i="15"/>
  <c r="B72" i="15" l="1"/>
  <c r="H53" i="1" a="1"/>
  <c r="H53" i="1" s="1"/>
  <c r="F55" i="1" a="1"/>
  <c r="K53" i="1"/>
  <c r="P53" i="1"/>
  <c r="M53" i="1"/>
  <c r="G54" i="1" a="1"/>
  <c r="I53" i="1"/>
  <c r="O53" i="1"/>
  <c r="J53" i="1"/>
  <c r="L53" i="1"/>
  <c r="N53" i="1"/>
  <c r="Q53" i="1" l="1"/>
  <c r="C72" i="15"/>
  <c r="G54" i="1"/>
  <c r="F55" i="1"/>
  <c r="B20" i="15" l="1"/>
  <c r="H54" i="1" a="1"/>
  <c r="H54" i="1" s="1"/>
  <c r="G55" i="1" a="1"/>
  <c r="O54" i="1"/>
  <c r="I54" i="1"/>
  <c r="K54" i="1"/>
  <c r="F56" i="1" a="1"/>
  <c r="L54" i="1"/>
  <c r="N54" i="1"/>
  <c r="M54" i="1"/>
  <c r="P54" i="1"/>
  <c r="J54" i="1"/>
  <c r="F56" i="1" l="1"/>
  <c r="Q54" i="1"/>
  <c r="C20" i="15"/>
  <c r="G55" i="1"/>
  <c r="B56" i="15" l="1"/>
  <c r="H55" i="1" a="1"/>
  <c r="H55" i="1" s="1"/>
  <c r="P55" i="1"/>
  <c r="I55" i="1"/>
  <c r="M55" i="1"/>
  <c r="K55" i="1"/>
  <c r="G56" i="1" a="1"/>
  <c r="O55" i="1"/>
  <c r="F57" i="1" a="1"/>
  <c r="J55" i="1"/>
  <c r="L55" i="1"/>
  <c r="N55" i="1"/>
  <c r="F57" i="1" l="1"/>
  <c r="G56" i="1"/>
  <c r="Q55" i="1"/>
  <c r="C56" i="15"/>
  <c r="B54" i="15" l="1"/>
  <c r="H56" i="1" a="1"/>
  <c r="H56" i="1" s="1"/>
  <c r="G57" i="1" a="1"/>
  <c r="N56" i="1"/>
  <c r="J56" i="1"/>
  <c r="I56" i="1"/>
  <c r="F58" i="1" a="1"/>
  <c r="P56" i="1"/>
  <c r="L56" i="1"/>
  <c r="M56" i="1"/>
  <c r="O56" i="1"/>
  <c r="K56" i="1"/>
  <c r="F58" i="1" l="1"/>
  <c r="Q56" i="1"/>
  <c r="C54" i="15"/>
  <c r="G57" i="1"/>
  <c r="B60" i="15" l="1"/>
  <c r="H57" i="1" a="1"/>
  <c r="H57" i="1" s="1"/>
  <c r="P57" i="1"/>
  <c r="N57" i="1"/>
  <c r="J57" i="1"/>
  <c r="I57" i="1"/>
  <c r="M57" i="1"/>
  <c r="F59" i="1" a="1"/>
  <c r="G58" i="1" a="1"/>
  <c r="O57" i="1"/>
  <c r="L57" i="1"/>
  <c r="K57" i="1"/>
  <c r="G58" i="1" l="1"/>
  <c r="F59" i="1"/>
  <c r="Q57" i="1"/>
  <c r="C60" i="15"/>
  <c r="B57" i="15" l="1"/>
  <c r="H58" i="1" a="1"/>
  <c r="H58" i="1" s="1"/>
  <c r="G59" i="1" a="1"/>
  <c r="J58" i="1"/>
  <c r="F60" i="1" a="1"/>
  <c r="I58" i="1"/>
  <c r="N58" i="1"/>
  <c r="K58" i="1"/>
  <c r="M58" i="1"/>
  <c r="L58" i="1"/>
  <c r="P58" i="1"/>
  <c r="O58" i="1"/>
  <c r="C57" i="15" l="1"/>
  <c r="Q58" i="1"/>
  <c r="F60" i="1"/>
  <c r="G59" i="1"/>
  <c r="B90" i="15" l="1"/>
  <c r="H59" i="1" a="1"/>
  <c r="H59" i="1" s="1"/>
  <c r="P59" i="1"/>
  <c r="N59" i="1"/>
  <c r="L59" i="1"/>
  <c r="M59" i="1"/>
  <c r="F61" i="1" a="1"/>
  <c r="K59" i="1"/>
  <c r="J59" i="1"/>
  <c r="G60" i="1" a="1"/>
  <c r="O59" i="1"/>
  <c r="I59" i="1"/>
  <c r="Q59" i="1" l="1"/>
  <c r="C90" i="15"/>
  <c r="G60" i="1"/>
  <c r="F61" i="1"/>
  <c r="B45" i="15" l="1"/>
  <c r="H60" i="1" a="1"/>
  <c r="H60" i="1" s="1"/>
  <c r="G61" i="1" a="1"/>
  <c r="M60" i="1"/>
  <c r="L60" i="1"/>
  <c r="F62" i="1" a="1"/>
  <c r="P60" i="1"/>
  <c r="I60" i="1"/>
  <c r="O60" i="1"/>
  <c r="J60" i="1"/>
  <c r="K60" i="1"/>
  <c r="N60" i="1"/>
  <c r="Q60" i="1" l="1"/>
  <c r="C45" i="15"/>
  <c r="F62" i="1"/>
  <c r="G61" i="1"/>
  <c r="B96" i="15" l="1"/>
  <c r="H61" i="1" a="1"/>
  <c r="H61" i="1" s="1"/>
  <c r="F63" i="1" a="1"/>
  <c r="P61" i="1"/>
  <c r="I61" i="1"/>
  <c r="G62" i="1" a="1"/>
  <c r="O61" i="1"/>
  <c r="M61" i="1"/>
  <c r="L61" i="1"/>
  <c r="J61" i="1"/>
  <c r="N61" i="1"/>
  <c r="K61" i="1"/>
  <c r="G62" i="1" l="1"/>
  <c r="Q61" i="1"/>
  <c r="C96" i="15"/>
  <c r="F63" i="1"/>
  <c r="B50" i="15" l="1"/>
  <c r="H62" i="1" a="1"/>
  <c r="H62" i="1" s="1"/>
  <c r="F64" i="1" a="1"/>
  <c r="L62" i="1"/>
  <c r="G63" i="1" a="1"/>
  <c r="I62" i="1"/>
  <c r="N62" i="1"/>
  <c r="O62" i="1"/>
  <c r="K62" i="1"/>
  <c r="P62" i="1"/>
  <c r="J62" i="1"/>
  <c r="M62" i="1"/>
  <c r="Q62" i="1" l="1"/>
  <c r="C50" i="15"/>
  <c r="G63" i="1"/>
  <c r="F64" i="1"/>
  <c r="B10" i="15" l="1"/>
  <c r="H63" i="1" a="1"/>
  <c r="H63" i="1" s="1"/>
  <c r="G64" i="1" a="1"/>
  <c r="N63" i="1"/>
  <c r="F65" i="1" a="1"/>
  <c r="M63" i="1"/>
  <c r="O63" i="1"/>
  <c r="I63" i="1"/>
  <c r="P63" i="1"/>
  <c r="L63" i="1"/>
  <c r="K63" i="1"/>
  <c r="J63" i="1"/>
  <c r="Q63" i="1" l="1"/>
  <c r="C10" i="15"/>
  <c r="F65" i="1"/>
  <c r="G64" i="1"/>
  <c r="B48" i="15" l="1"/>
  <c r="H64" i="1" a="1"/>
  <c r="H64" i="1" s="1"/>
  <c r="K64" i="1"/>
  <c r="I64" i="1"/>
  <c r="P64" i="1"/>
  <c r="M64" i="1"/>
  <c r="F66" i="1" a="1"/>
  <c r="O64" i="1"/>
  <c r="L64" i="1"/>
  <c r="J64" i="1"/>
  <c r="N64" i="1"/>
  <c r="G65" i="1" a="1"/>
  <c r="G65" i="1" l="1"/>
  <c r="F66" i="1"/>
  <c r="Q64" i="1"/>
  <c r="C48" i="15"/>
  <c r="B16" i="15" l="1"/>
  <c r="H65" i="1" a="1"/>
  <c r="H65" i="1" s="1"/>
  <c r="G66" i="1" a="1"/>
  <c r="L65" i="1"/>
  <c r="I65" i="1"/>
  <c r="O65" i="1"/>
  <c r="P65" i="1"/>
  <c r="F67" i="1" a="1"/>
  <c r="K65" i="1"/>
  <c r="N65" i="1"/>
  <c r="M65" i="1"/>
  <c r="J65" i="1"/>
  <c r="F67" i="1" l="1"/>
  <c r="Q65" i="1"/>
  <c r="C16" i="15"/>
  <c r="G66" i="1"/>
  <c r="B18" i="15" l="1"/>
  <c r="H66" i="1" a="1"/>
  <c r="H66" i="1" s="1"/>
  <c r="I66" i="1"/>
  <c r="O66" i="1"/>
  <c r="F68" i="1" a="1"/>
  <c r="M66" i="1"/>
  <c r="K66" i="1"/>
  <c r="G67" i="1" a="1"/>
  <c r="P66" i="1"/>
  <c r="L66" i="1"/>
  <c r="N66" i="1"/>
  <c r="J66" i="1"/>
  <c r="G67" i="1" l="1"/>
  <c r="F68" i="1"/>
  <c r="Q66" i="1"/>
  <c r="C18" i="15"/>
  <c r="B22" i="15" l="1"/>
  <c r="H67" i="1" a="1"/>
  <c r="H67" i="1" s="1"/>
  <c r="F69" i="1" a="1"/>
  <c r="N67" i="1"/>
  <c r="J67" i="1"/>
  <c r="K67" i="1"/>
  <c r="G68" i="1" a="1"/>
  <c r="M67" i="1"/>
  <c r="O67" i="1"/>
  <c r="I67" i="1"/>
  <c r="L67" i="1"/>
  <c r="P67" i="1"/>
  <c r="C22" i="15" l="1"/>
  <c r="Q67" i="1"/>
  <c r="G68" i="1"/>
  <c r="F69" i="1"/>
  <c r="B49" i="15" l="1"/>
  <c r="H68" i="1" a="1"/>
  <c r="H68" i="1" s="1"/>
  <c r="F70" i="1" a="1"/>
  <c r="M68" i="1"/>
  <c r="K68" i="1"/>
  <c r="I68" i="1"/>
  <c r="J68" i="1"/>
  <c r="G69" i="1" a="1"/>
  <c r="P68" i="1"/>
  <c r="N68" i="1"/>
  <c r="L68" i="1"/>
  <c r="O68" i="1"/>
  <c r="G69" i="1" l="1"/>
  <c r="Q68" i="1"/>
  <c r="C49" i="15"/>
  <c r="F70" i="1"/>
  <c r="B52" i="15" l="1"/>
  <c r="H69" i="1" a="1"/>
  <c r="H69" i="1" s="1"/>
  <c r="G70" i="1" a="1"/>
  <c r="K69" i="1"/>
  <c r="O69" i="1"/>
  <c r="M69" i="1"/>
  <c r="I69" i="1"/>
  <c r="F71" i="1" a="1"/>
  <c r="J69" i="1"/>
  <c r="L69" i="1"/>
  <c r="N69" i="1"/>
  <c r="P69" i="1"/>
  <c r="F71" i="1" l="1"/>
  <c r="Q69" i="1"/>
  <c r="C52" i="15"/>
  <c r="G70" i="1"/>
  <c r="B35" i="15" l="1"/>
  <c r="H70" i="1" a="1"/>
  <c r="H70" i="1" s="1"/>
  <c r="O70" i="1"/>
  <c r="K70" i="1"/>
  <c r="N70" i="1"/>
  <c r="F72" i="1" a="1"/>
  <c r="P70" i="1"/>
  <c r="L70" i="1"/>
  <c r="G71" i="1" a="1"/>
  <c r="I70" i="1"/>
  <c r="M70" i="1"/>
  <c r="J70" i="1"/>
  <c r="Q70" i="1" l="1"/>
  <c r="C35" i="15"/>
  <c r="G71" i="1"/>
  <c r="F72" i="1"/>
  <c r="E19" i="15" l="1"/>
  <c r="H71" i="1" a="1"/>
  <c r="H71" i="1" s="1"/>
  <c r="F73" i="1" a="1"/>
  <c r="N71" i="1"/>
  <c r="K71" i="1"/>
  <c r="I71" i="1"/>
  <c r="G72" i="1" a="1"/>
  <c r="J71" i="1"/>
  <c r="O71" i="1"/>
  <c r="L71" i="1"/>
  <c r="M71" i="1"/>
  <c r="P71" i="1"/>
  <c r="G72" i="1" l="1"/>
  <c r="Q71" i="1"/>
  <c r="F19" i="15"/>
  <c r="F73" i="1"/>
  <c r="B27" i="15" l="1"/>
  <c r="H72" i="1" a="1"/>
  <c r="H72" i="1" s="1"/>
  <c r="F74" i="1" a="1"/>
  <c r="J72" i="1"/>
  <c r="K72" i="1"/>
  <c r="P72" i="1"/>
  <c r="G73" i="1" a="1"/>
  <c r="I72" i="1"/>
  <c r="N72" i="1"/>
  <c r="M72" i="1"/>
  <c r="L72" i="1"/>
  <c r="O72" i="1"/>
  <c r="Q72" i="1" l="1"/>
  <c r="C27" i="15"/>
  <c r="G73" i="1"/>
  <c r="F74" i="1"/>
  <c r="B30" i="15" l="1"/>
  <c r="H73" i="1" a="1"/>
  <c r="H73" i="1" s="1"/>
  <c r="G74" i="1" a="1"/>
  <c r="P73" i="1"/>
  <c r="M73" i="1"/>
  <c r="N73" i="1"/>
  <c r="L73" i="1"/>
  <c r="F75" i="1" a="1"/>
  <c r="K73" i="1"/>
  <c r="I73" i="1"/>
  <c r="O73" i="1"/>
  <c r="J73" i="1"/>
  <c r="Q73" i="1" l="1"/>
  <c r="C30" i="15"/>
  <c r="F75" i="1"/>
  <c r="G74" i="1"/>
  <c r="B25" i="15" l="1"/>
  <c r="H74" i="1" a="1"/>
  <c r="H74" i="1" s="1"/>
  <c r="F76" i="1" a="1"/>
  <c r="I74" i="1"/>
  <c r="O74" i="1"/>
  <c r="G75" i="1" a="1"/>
  <c r="P74" i="1"/>
  <c r="L74" i="1"/>
  <c r="M74" i="1"/>
  <c r="N74" i="1"/>
  <c r="K74" i="1"/>
  <c r="J74" i="1"/>
  <c r="G75" i="1" l="1"/>
  <c r="Q74" i="1"/>
  <c r="C25" i="15"/>
  <c r="F76" i="1"/>
  <c r="B12" i="15" l="1"/>
  <c r="H75" i="1" a="1"/>
  <c r="H75" i="1" s="1"/>
  <c r="F77" i="1" a="1"/>
  <c r="J75" i="1"/>
  <c r="I75" i="1"/>
  <c r="L75" i="1"/>
  <c r="K75" i="1"/>
  <c r="P75" i="1"/>
  <c r="G76" i="1" a="1"/>
  <c r="O75" i="1"/>
  <c r="N75" i="1"/>
  <c r="M75" i="1"/>
  <c r="G76" i="1" l="1"/>
  <c r="C12" i="15"/>
  <c r="Q75" i="1"/>
  <c r="F77" i="1"/>
  <c r="B80" i="15" l="1"/>
  <c r="H76" i="1" a="1"/>
  <c r="H76" i="1" s="1"/>
  <c r="F78" i="1" a="1"/>
  <c r="K76" i="1"/>
  <c r="N76" i="1"/>
  <c r="M76" i="1"/>
  <c r="P76" i="1"/>
  <c r="G77" i="1" a="1"/>
  <c r="I76" i="1"/>
  <c r="J76" i="1"/>
  <c r="L76" i="1"/>
  <c r="O76" i="1"/>
  <c r="Q76" i="1" l="1"/>
  <c r="C80" i="15"/>
  <c r="G77" i="1"/>
  <c r="F78" i="1"/>
  <c r="B84" i="15" l="1"/>
  <c r="H77" i="1" a="1"/>
  <c r="H77" i="1" s="1"/>
  <c r="F79" i="1" a="1"/>
  <c r="J77" i="1"/>
  <c r="I77" i="1"/>
  <c r="K77" i="1"/>
  <c r="L77" i="1"/>
  <c r="G78" i="1" a="1"/>
  <c r="M77" i="1"/>
  <c r="P77" i="1"/>
  <c r="O77" i="1"/>
  <c r="N77" i="1"/>
  <c r="G78" i="1" l="1"/>
  <c r="Q77" i="1"/>
  <c r="C84" i="15"/>
  <c r="F79" i="1"/>
  <c r="B32" i="15" l="1"/>
  <c r="H78" i="1" a="1"/>
  <c r="H78" i="1" s="1"/>
  <c r="F80" i="1" a="1"/>
  <c r="M78" i="1"/>
  <c r="P78" i="1"/>
  <c r="K78" i="1"/>
  <c r="G79" i="1" a="1"/>
  <c r="N78" i="1"/>
  <c r="O78" i="1"/>
  <c r="I78" i="1"/>
  <c r="L78" i="1"/>
  <c r="J78" i="1"/>
  <c r="C32" i="15" l="1"/>
  <c r="Q78" i="1"/>
  <c r="G79" i="1"/>
  <c r="F80" i="1"/>
  <c r="B43" i="15" l="1"/>
  <c r="H79" i="1" a="1"/>
  <c r="H79" i="1" s="1"/>
  <c r="O79" i="1"/>
  <c r="N79" i="1"/>
  <c r="G80" i="1" a="1"/>
  <c r="K79" i="1"/>
  <c r="F81" i="1" a="1"/>
  <c r="L79" i="1"/>
  <c r="J79" i="1"/>
  <c r="I79" i="1"/>
  <c r="P79" i="1"/>
  <c r="M79" i="1"/>
  <c r="Q79" i="1" l="1"/>
  <c r="C43" i="15"/>
  <c r="F81" i="1"/>
  <c r="G80" i="1"/>
  <c r="B74" i="15" l="1"/>
  <c r="H80" i="1" a="1"/>
  <c r="H80" i="1" s="1"/>
  <c r="I80" i="1"/>
  <c r="M80" i="1"/>
  <c r="L80" i="1"/>
  <c r="J80" i="1"/>
  <c r="N80" i="1"/>
  <c r="G81" i="1" a="1"/>
  <c r="F82" i="1" a="1"/>
  <c r="P80" i="1"/>
  <c r="O80" i="1"/>
  <c r="K80" i="1"/>
  <c r="F82" i="1" l="1"/>
  <c r="G81" i="1"/>
  <c r="Q80" i="1"/>
  <c r="C74" i="15"/>
  <c r="B26" i="15" l="1"/>
  <c r="H81" i="1" a="1"/>
  <c r="H81" i="1" s="1"/>
  <c r="N81" i="1"/>
  <c r="P81" i="1"/>
  <c r="K81" i="1"/>
  <c r="L81" i="1"/>
  <c r="M81" i="1"/>
  <c r="F83" i="1" a="1"/>
  <c r="O81" i="1"/>
  <c r="G82" i="1" a="1"/>
  <c r="I81" i="1"/>
  <c r="J81" i="1"/>
  <c r="Q81" i="1" l="1"/>
  <c r="C26" i="15"/>
  <c r="G82" i="1"/>
  <c r="F83" i="1"/>
  <c r="B94" i="15" l="1"/>
  <c r="H82" i="1" a="1"/>
  <c r="H82" i="1" s="1"/>
  <c r="N82" i="1"/>
  <c r="P82" i="1"/>
  <c r="M82" i="1"/>
  <c r="J82" i="1"/>
  <c r="G83" i="1" a="1"/>
  <c r="O82" i="1"/>
  <c r="L82" i="1"/>
  <c r="F84" i="1" a="1"/>
  <c r="I82" i="1"/>
  <c r="K82" i="1"/>
  <c r="Q82" i="1" l="1"/>
  <c r="C94" i="15"/>
  <c r="F84" i="1"/>
  <c r="G83" i="1"/>
  <c r="B61" i="15" l="1"/>
  <c r="H83" i="1" a="1"/>
  <c r="H83" i="1" s="1"/>
  <c r="F85" i="1" a="1"/>
  <c r="P83" i="1"/>
  <c r="K83" i="1"/>
  <c r="I83" i="1"/>
  <c r="G84" i="1" a="1"/>
  <c r="M83" i="1"/>
  <c r="O83" i="1"/>
  <c r="N83" i="1"/>
  <c r="J83" i="1"/>
  <c r="L83" i="1"/>
  <c r="G84" i="1" l="1"/>
  <c r="Q83" i="1"/>
  <c r="C61" i="15"/>
  <c r="F85" i="1"/>
  <c r="B68" i="15" l="1"/>
  <c r="H84" i="1" a="1"/>
  <c r="H84" i="1" s="1"/>
  <c r="G85" i="1" a="1"/>
  <c r="M84" i="1"/>
  <c r="P84" i="1"/>
  <c r="O84" i="1"/>
  <c r="F86" i="1" a="1"/>
  <c r="I84" i="1"/>
  <c r="K84" i="1"/>
  <c r="L84" i="1"/>
  <c r="N84" i="1"/>
  <c r="J84" i="1"/>
  <c r="Q84" i="1" l="1"/>
  <c r="C68" i="15"/>
  <c r="F86" i="1"/>
  <c r="G85" i="1"/>
  <c r="E11" i="15" l="1"/>
  <c r="H85" i="1" a="1"/>
  <c r="H85" i="1" s="1"/>
  <c r="P85" i="1"/>
  <c r="J85" i="1"/>
  <c r="M85" i="1"/>
  <c r="N85" i="1"/>
  <c r="G86" i="1" a="1"/>
  <c r="O85" i="1"/>
  <c r="F87" i="1" a="1"/>
  <c r="I85" i="1"/>
  <c r="L85" i="1"/>
  <c r="K85" i="1"/>
  <c r="Q85" i="1" l="1"/>
  <c r="F11" i="15"/>
  <c r="F87" i="1"/>
  <c r="G86" i="1"/>
  <c r="B41" i="15" l="1"/>
  <c r="H86" i="1" a="1"/>
  <c r="H86" i="1" s="1"/>
  <c r="M86" i="1"/>
  <c r="N86" i="1"/>
  <c r="F88" i="1" a="1"/>
  <c r="O86" i="1"/>
  <c r="G87" i="1" a="1"/>
  <c r="L86" i="1"/>
  <c r="P86" i="1"/>
  <c r="K86" i="1"/>
  <c r="I86" i="1"/>
  <c r="J86" i="1"/>
  <c r="C41" i="15" l="1"/>
  <c r="Q86" i="1"/>
  <c r="G87" i="1"/>
  <c r="F88" i="1"/>
  <c r="B42" i="15" l="1"/>
  <c r="H87" i="1" a="1"/>
  <c r="H87" i="1" s="1"/>
  <c r="F89" i="1" a="1"/>
  <c r="O87" i="1"/>
  <c r="I87" i="1"/>
  <c r="J87" i="1"/>
  <c r="L87" i="1"/>
  <c r="G88" i="1" a="1"/>
  <c r="P87" i="1"/>
  <c r="N87" i="1"/>
  <c r="K87" i="1"/>
  <c r="M87" i="1"/>
  <c r="G88" i="1" l="1"/>
  <c r="Q87" i="1"/>
  <c r="C42" i="15"/>
  <c r="F89" i="1"/>
  <c r="B69" i="15" l="1"/>
  <c r="H88" i="1" a="1"/>
  <c r="H88" i="1" s="1"/>
  <c r="G89" i="1" a="1"/>
  <c r="O88" i="1"/>
  <c r="L88" i="1"/>
  <c r="F90" i="1" a="1"/>
  <c r="P88" i="1"/>
  <c r="N88" i="1"/>
  <c r="K88" i="1"/>
  <c r="M88" i="1"/>
  <c r="I88" i="1"/>
  <c r="J88" i="1"/>
  <c r="Q88" i="1" l="1"/>
  <c r="C69" i="15"/>
  <c r="F90" i="1"/>
  <c r="G89" i="1"/>
  <c r="B28" i="15" l="1"/>
  <c r="H89" i="1" a="1"/>
  <c r="H89" i="1" s="1"/>
  <c r="L89" i="1"/>
  <c r="I89" i="1"/>
  <c r="P89" i="1"/>
  <c r="F91" i="1" a="1"/>
  <c r="N89" i="1"/>
  <c r="K89" i="1"/>
  <c r="G90" i="1" a="1"/>
  <c r="J89" i="1"/>
  <c r="M89" i="1"/>
  <c r="O89" i="1"/>
  <c r="G90" i="1" l="1"/>
  <c r="F91" i="1"/>
  <c r="Q89" i="1"/>
  <c r="C28" i="15"/>
  <c r="E20" i="15" l="1"/>
  <c r="H90" i="1" a="1"/>
  <c r="H90" i="1" s="1"/>
  <c r="F92" i="1" a="1"/>
  <c r="K90" i="1"/>
  <c r="O90" i="1"/>
  <c r="M90" i="1"/>
  <c r="G91" i="1" a="1"/>
  <c r="I90" i="1"/>
  <c r="P90" i="1"/>
  <c r="L90" i="1"/>
  <c r="N90" i="1"/>
  <c r="J90" i="1"/>
  <c r="Q90" i="1" l="1"/>
  <c r="F20" i="15"/>
  <c r="G91" i="1"/>
  <c r="F92" i="1"/>
  <c r="B85" i="15" l="1"/>
  <c r="H91" i="1" a="1"/>
  <c r="H91" i="1" s="1"/>
  <c r="F93" i="1" a="1"/>
  <c r="J91" i="1"/>
  <c r="L91" i="1"/>
  <c r="M91" i="1"/>
  <c r="P91" i="1"/>
  <c r="O91" i="1"/>
  <c r="G92" i="1" a="1"/>
  <c r="N91" i="1"/>
  <c r="I91" i="1"/>
  <c r="K91" i="1"/>
  <c r="Q91" i="1" l="1"/>
  <c r="C85" i="15"/>
  <c r="G92" i="1"/>
  <c r="F93" i="1"/>
  <c r="B38" i="15" l="1"/>
  <c r="H92" i="1" a="1"/>
  <c r="H92" i="1" s="1"/>
  <c r="G93" i="1" a="1"/>
  <c r="L92" i="1"/>
  <c r="N92" i="1"/>
  <c r="P92" i="1"/>
  <c r="F94" i="1" a="1"/>
  <c r="O92" i="1"/>
  <c r="J92" i="1"/>
  <c r="M92" i="1"/>
  <c r="K92" i="1"/>
  <c r="I92" i="1"/>
  <c r="Q92" i="1" l="1"/>
  <c r="C38" i="15"/>
  <c r="F94" i="1"/>
  <c r="G93" i="1"/>
  <c r="B83" i="15" l="1"/>
  <c r="H93" i="1" a="1"/>
  <c r="H93" i="1" s="1"/>
  <c r="O93" i="1"/>
  <c r="I93" i="1"/>
  <c r="N93" i="1"/>
  <c r="G94" i="1" a="1"/>
  <c r="L93" i="1"/>
  <c r="P93" i="1"/>
  <c r="J93" i="1"/>
  <c r="F95" i="1" a="1"/>
  <c r="M93" i="1"/>
  <c r="K93" i="1"/>
  <c r="F95" i="1" l="1"/>
  <c r="G94" i="1"/>
  <c r="Q93" i="1"/>
  <c r="C83" i="15"/>
  <c r="B53" i="15" l="1"/>
  <c r="H94" i="1" a="1"/>
  <c r="H94" i="1" s="1"/>
  <c r="P94" i="1"/>
  <c r="L94" i="1"/>
  <c r="N94" i="1"/>
  <c r="I94" i="1"/>
  <c r="F96" i="1" a="1"/>
  <c r="O94" i="1"/>
  <c r="G95" i="1" a="1"/>
  <c r="M94" i="1"/>
  <c r="J94" i="1"/>
  <c r="K94" i="1"/>
  <c r="G95" i="1" l="1"/>
  <c r="F96" i="1"/>
  <c r="Q94" i="1"/>
  <c r="C53" i="15"/>
  <c r="B23" i="15" l="1"/>
  <c r="H95" i="1" a="1"/>
  <c r="H95" i="1" s="1"/>
  <c r="F97" i="1" a="1"/>
  <c r="J95" i="1"/>
  <c r="I95" i="1"/>
  <c r="P95" i="1"/>
  <c r="M95" i="1"/>
  <c r="G96" i="1" a="1"/>
  <c r="L95" i="1"/>
  <c r="N95" i="1"/>
  <c r="K95" i="1"/>
  <c r="O95" i="1"/>
  <c r="G96" i="1" l="1"/>
  <c r="Q95" i="1"/>
  <c r="C23" i="15"/>
  <c r="F97" i="1"/>
  <c r="B66" i="15" l="1"/>
  <c r="H96" i="1" a="1"/>
  <c r="H96" i="1" s="1"/>
  <c r="F98" i="1" a="1"/>
  <c r="M96" i="1"/>
  <c r="L96" i="1"/>
  <c r="I96" i="1"/>
  <c r="G97" i="1" a="1"/>
  <c r="P96" i="1"/>
  <c r="N96" i="1"/>
  <c r="J96" i="1"/>
  <c r="K96" i="1"/>
  <c r="O96" i="1"/>
  <c r="G97" i="1" l="1"/>
  <c r="Q96" i="1"/>
  <c r="C66" i="15"/>
  <c r="F98" i="1"/>
  <c r="B75" i="15" l="1"/>
  <c r="H97" i="1" a="1"/>
  <c r="H97" i="1" s="1"/>
  <c r="G98" i="1" a="1"/>
  <c r="M97" i="1"/>
  <c r="K97" i="1"/>
  <c r="N97" i="1"/>
  <c r="L97" i="1"/>
  <c r="O97" i="1"/>
  <c r="F99" i="1" a="1"/>
  <c r="I97" i="1"/>
  <c r="P97" i="1"/>
  <c r="J97" i="1"/>
  <c r="Q97" i="1" l="1"/>
  <c r="C75" i="15"/>
  <c r="F99" i="1"/>
  <c r="G98" i="1"/>
  <c r="B88" i="15" l="1"/>
  <c r="H98" i="1" a="1"/>
  <c r="H98" i="1" s="1"/>
  <c r="L98" i="1"/>
  <c r="M98" i="1"/>
  <c r="I98" i="1"/>
  <c r="K98" i="1"/>
  <c r="G99" i="1" a="1"/>
  <c r="P98" i="1"/>
  <c r="J98" i="1"/>
  <c r="F100" i="1" a="1"/>
  <c r="O98" i="1"/>
  <c r="N98" i="1"/>
  <c r="F100" i="1" l="1"/>
  <c r="G99" i="1"/>
  <c r="Q98" i="1"/>
  <c r="C88" i="15"/>
  <c r="B29" i="15" l="1"/>
  <c r="H99" i="1" a="1"/>
  <c r="H99" i="1" s="1"/>
  <c r="K99" i="1"/>
  <c r="M99" i="1"/>
  <c r="G100" i="1" a="1"/>
  <c r="I99" i="1"/>
  <c r="J99" i="1"/>
  <c r="F101" i="1" a="1"/>
  <c r="O99" i="1"/>
  <c r="L99" i="1"/>
  <c r="P99" i="1"/>
  <c r="N99" i="1"/>
  <c r="F101" i="1" l="1"/>
  <c r="Q99" i="1"/>
  <c r="C29" i="15"/>
  <c r="G100" i="1"/>
  <c r="B15" i="15" l="1"/>
  <c r="H100" i="1" a="1"/>
  <c r="H100" i="1" s="1"/>
  <c r="J100" i="1"/>
  <c r="I100" i="1"/>
  <c r="K100" i="1"/>
  <c r="F102" i="1" a="1"/>
  <c r="M100" i="1"/>
  <c r="G101" i="1" a="1"/>
  <c r="O100" i="1"/>
  <c r="P100" i="1"/>
  <c r="L100" i="1"/>
  <c r="N100" i="1"/>
  <c r="G101" i="1" l="1"/>
  <c r="F102" i="1"/>
  <c r="Q100" i="1"/>
  <c r="C15" i="15"/>
  <c r="H101" i="1" l="1" a="1"/>
  <c r="H101" i="1" s="1"/>
  <c r="H9" i="15"/>
  <c r="G102" i="1" a="1"/>
  <c r="M101" i="1"/>
  <c r="J101" i="1"/>
  <c r="I101" i="1"/>
  <c r="F103" i="1" a="1"/>
  <c r="L101" i="1"/>
  <c r="O101" i="1"/>
  <c r="K101" i="1"/>
  <c r="N101" i="1"/>
  <c r="P101" i="1"/>
  <c r="F103" i="1" l="1"/>
  <c r="Q101" i="1"/>
  <c r="I9" i="15"/>
  <c r="G102" i="1"/>
  <c r="B98" i="15" l="1"/>
  <c r="H102" i="1" a="1"/>
  <c r="H102" i="1" s="1"/>
  <c r="P102" i="1"/>
  <c r="J102" i="1"/>
  <c r="O102" i="1"/>
  <c r="I102" i="1"/>
  <c r="M102" i="1"/>
  <c r="F104" i="1" a="1"/>
  <c r="K102" i="1"/>
  <c r="G103" i="1" a="1"/>
  <c r="L102" i="1"/>
  <c r="N102" i="1"/>
  <c r="G103" i="1" l="1"/>
  <c r="F104" i="1"/>
  <c r="Q102" i="1"/>
  <c r="C98" i="15"/>
  <c r="B58" i="15" l="1"/>
  <c r="H103" i="1" a="1"/>
  <c r="H103" i="1" s="1"/>
  <c r="G104" i="1" a="1"/>
  <c r="J103" i="1"/>
  <c r="O103" i="1"/>
  <c r="K103" i="1"/>
  <c r="F105" i="1" a="1"/>
  <c r="L103" i="1"/>
  <c r="M103" i="1"/>
  <c r="P103" i="1"/>
  <c r="N103" i="1"/>
  <c r="I103" i="1"/>
  <c r="Q103" i="1" l="1"/>
  <c r="C58" i="15"/>
  <c r="F105" i="1"/>
  <c r="G104" i="1"/>
  <c r="B33" i="15" l="1"/>
  <c r="H104" i="1" a="1"/>
  <c r="H104" i="1" s="1"/>
  <c r="K104" i="1"/>
  <c r="I104" i="1"/>
  <c r="P104" i="1"/>
  <c r="L104" i="1"/>
  <c r="O104" i="1"/>
  <c r="F106" i="1" a="1"/>
  <c r="M104" i="1"/>
  <c r="G105" i="1" a="1"/>
  <c r="J104" i="1"/>
  <c r="N104" i="1"/>
  <c r="G105" i="1" l="1"/>
  <c r="F106" i="1"/>
  <c r="Q104" i="1"/>
  <c r="C33" i="15"/>
  <c r="B79" i="15" l="1"/>
  <c r="H105" i="1" a="1"/>
  <c r="H105" i="1" s="1"/>
  <c r="F107" i="1" a="1"/>
  <c r="J105" i="1"/>
  <c r="M105" i="1"/>
  <c r="I105" i="1"/>
  <c r="K105" i="1"/>
  <c r="G106" i="1" a="1"/>
  <c r="L105" i="1"/>
  <c r="P105" i="1"/>
  <c r="N105" i="1"/>
  <c r="O105" i="1"/>
  <c r="G106" i="1" l="1"/>
  <c r="C79" i="15"/>
  <c r="Q105" i="1"/>
  <c r="F107" i="1"/>
  <c r="B99" i="15" l="1"/>
  <c r="H106" i="1" a="1"/>
  <c r="H106" i="1" s="1"/>
  <c r="G107" i="1" a="1"/>
  <c r="P106" i="1"/>
  <c r="N106" i="1"/>
  <c r="L106" i="1"/>
  <c r="J106" i="1"/>
  <c r="F108" i="1" a="1"/>
  <c r="O106" i="1"/>
  <c r="K106" i="1"/>
  <c r="M106" i="1"/>
  <c r="I106" i="1"/>
  <c r="Q106" i="1" l="1"/>
  <c r="C99" i="15"/>
  <c r="F108" i="1"/>
  <c r="G107" i="1"/>
  <c r="B100" i="15" l="1"/>
  <c r="H107" i="1" a="1"/>
  <c r="H107" i="1" s="1"/>
  <c r="L107" i="1"/>
  <c r="K107" i="1"/>
  <c r="P107" i="1"/>
  <c r="F109" i="1" a="1"/>
  <c r="M107" i="1"/>
  <c r="N107" i="1"/>
  <c r="O107" i="1"/>
  <c r="G108" i="1" a="1"/>
  <c r="I107" i="1"/>
  <c r="J107" i="1"/>
  <c r="Q107" i="1" l="1"/>
  <c r="C100" i="15"/>
  <c r="G108" i="1"/>
  <c r="F109" i="1"/>
  <c r="B40" i="15" l="1"/>
  <c r="H108" i="1" a="1"/>
  <c r="H108" i="1" s="1"/>
  <c r="N108" i="1"/>
  <c r="I108" i="1"/>
  <c r="L108" i="1"/>
  <c r="F110" i="1" a="1"/>
  <c r="O108" i="1"/>
  <c r="P108" i="1"/>
  <c r="G109" i="1" a="1"/>
  <c r="J108" i="1"/>
  <c r="K108" i="1"/>
  <c r="M108" i="1"/>
  <c r="G109" i="1" l="1"/>
  <c r="F110" i="1"/>
  <c r="Q108" i="1"/>
  <c r="C40" i="15"/>
  <c r="B77" i="15" l="1"/>
  <c r="H109" i="1" a="1"/>
  <c r="H109" i="1" s="1"/>
  <c r="F111" i="1" a="1"/>
  <c r="J109" i="1"/>
  <c r="N109" i="1"/>
  <c r="O109" i="1"/>
  <c r="G110" i="1" a="1"/>
  <c r="M109" i="1"/>
  <c r="K109" i="1"/>
  <c r="I109" i="1"/>
  <c r="P109" i="1"/>
  <c r="L109" i="1"/>
  <c r="Q109" i="1" l="1"/>
  <c r="C77" i="15"/>
  <c r="G110" i="1"/>
  <c r="F111" i="1"/>
  <c r="B73" i="15" l="1"/>
  <c r="H110" i="1" a="1"/>
  <c r="H110" i="1" s="1"/>
  <c r="N110" i="1"/>
  <c r="L110" i="1"/>
  <c r="M110" i="1"/>
  <c r="G111" i="1" a="1"/>
  <c r="I110" i="1"/>
  <c r="P110" i="1"/>
  <c r="O110" i="1"/>
  <c r="F112" i="1" a="1"/>
  <c r="K110" i="1"/>
  <c r="J110" i="1"/>
  <c r="F112" i="1" l="1"/>
  <c r="Q110" i="1"/>
  <c r="C73" i="15"/>
  <c r="G111" i="1"/>
  <c r="B86" i="15" l="1"/>
  <c r="H111" i="1" a="1"/>
  <c r="H111" i="1" s="1"/>
  <c r="P111" i="1"/>
  <c r="M111" i="1"/>
  <c r="F113" i="1" a="1"/>
  <c r="N111" i="1"/>
  <c r="K111" i="1"/>
  <c r="G112" i="1" a="1"/>
  <c r="L111" i="1"/>
  <c r="I111" i="1"/>
  <c r="O111" i="1"/>
  <c r="J111" i="1"/>
  <c r="Q111" i="1" l="1"/>
  <c r="C86" i="15"/>
  <c r="G112" i="1"/>
  <c r="F113" i="1"/>
  <c r="B47" i="15" l="1"/>
  <c r="H112" i="1" a="1"/>
  <c r="H112" i="1" s="1"/>
  <c r="G113" i="1" a="1"/>
  <c r="I112" i="1"/>
  <c r="M112" i="1"/>
  <c r="P112" i="1"/>
  <c r="F114" i="1" a="1"/>
  <c r="N112" i="1"/>
  <c r="J112" i="1"/>
  <c r="L112" i="1"/>
  <c r="O112" i="1"/>
  <c r="K112" i="1"/>
  <c r="F114" i="1" l="1"/>
  <c r="Q112" i="1"/>
  <c r="C47" i="15"/>
  <c r="G113" i="1"/>
  <c r="B93" i="15" l="1"/>
  <c r="H113" i="1" a="1"/>
  <c r="H113" i="1" s="1"/>
  <c r="M113" i="1"/>
  <c r="I113" i="1"/>
  <c r="L113" i="1"/>
  <c r="G114" i="1" a="1"/>
  <c r="P113" i="1"/>
  <c r="N113" i="1"/>
  <c r="F115" i="1" a="1"/>
  <c r="K113" i="1"/>
  <c r="O113" i="1"/>
  <c r="J113" i="1"/>
  <c r="F115" i="1" l="1"/>
  <c r="G114" i="1"/>
  <c r="Q113" i="1"/>
  <c r="C93" i="15"/>
  <c r="B55" i="15" l="1"/>
  <c r="H114" i="1" a="1"/>
  <c r="H114" i="1" s="1"/>
  <c r="O114" i="1"/>
  <c r="K114" i="1"/>
  <c r="N114" i="1"/>
  <c r="I114" i="1"/>
  <c r="P114" i="1"/>
  <c r="F116" i="1" a="1"/>
  <c r="G115" i="1" a="1"/>
  <c r="J114" i="1"/>
  <c r="M114" i="1"/>
  <c r="L114" i="1"/>
  <c r="G115" i="1" l="1"/>
  <c r="F116" i="1"/>
  <c r="Q114" i="1"/>
  <c r="C55" i="15"/>
  <c r="B95" i="15" l="1"/>
  <c r="H115" i="1" a="1"/>
  <c r="H115" i="1" s="1"/>
  <c r="G116" i="1" a="1"/>
  <c r="O115" i="1"/>
  <c r="J115" i="1"/>
  <c r="M115" i="1"/>
  <c r="P115" i="1"/>
  <c r="F117" i="1" a="1"/>
  <c r="K115" i="1"/>
  <c r="L115" i="1"/>
  <c r="N115" i="1"/>
  <c r="I115" i="1"/>
  <c r="Q115" i="1" l="1"/>
  <c r="C95" i="15"/>
  <c r="F117" i="1"/>
  <c r="G116" i="1"/>
  <c r="E18" i="15" l="1"/>
  <c r="H116" i="1" a="1"/>
  <c r="H116" i="1" s="1"/>
  <c r="L116" i="1"/>
  <c r="N116" i="1"/>
  <c r="K116" i="1"/>
  <c r="J116" i="1"/>
  <c r="I116" i="1"/>
  <c r="G117" i="1" a="1"/>
  <c r="F118" i="1" a="1"/>
  <c r="M116" i="1"/>
  <c r="O116" i="1"/>
  <c r="P116" i="1"/>
  <c r="F118" i="1" l="1"/>
  <c r="G117" i="1"/>
  <c r="Q116" i="1"/>
  <c r="F18" i="15"/>
  <c r="B46" i="15" l="1"/>
  <c r="H117" i="1" a="1"/>
  <c r="H117" i="1" s="1"/>
  <c r="L117" i="1"/>
  <c r="J117" i="1"/>
  <c r="N117" i="1"/>
  <c r="I117" i="1"/>
  <c r="P117" i="1"/>
  <c r="G118" i="1" a="1"/>
  <c r="F119" i="1" a="1"/>
  <c r="O117" i="1"/>
  <c r="M117" i="1"/>
  <c r="K117" i="1"/>
  <c r="F119" i="1" l="1"/>
  <c r="G118" i="1"/>
  <c r="Q117" i="1"/>
  <c r="C46" i="15"/>
  <c r="B65" i="15" l="1"/>
  <c r="H118" i="1" a="1"/>
  <c r="H118" i="1" s="1"/>
  <c r="P118" i="1"/>
  <c r="I118" i="1"/>
  <c r="N118" i="1"/>
  <c r="K118" i="1"/>
  <c r="F120" i="1" a="1"/>
  <c r="L118" i="1"/>
  <c r="G119" i="1" a="1"/>
  <c r="M118" i="1"/>
  <c r="J118" i="1"/>
  <c r="O118" i="1"/>
  <c r="G119" i="1" l="1"/>
  <c r="F120" i="1"/>
  <c r="Q118" i="1"/>
  <c r="C65" i="15"/>
  <c r="B89" i="15" l="1"/>
  <c r="H119" i="1" a="1"/>
  <c r="H119" i="1" s="1"/>
  <c r="J120" i="1"/>
  <c r="K119" i="1"/>
  <c r="L119" i="1"/>
  <c r="P119" i="1"/>
  <c r="O119" i="1"/>
  <c r="L120" i="1"/>
  <c r="N120" i="1"/>
  <c r="J119" i="1"/>
  <c r="M120" i="1"/>
  <c r="N119" i="1"/>
  <c r="O120" i="1"/>
  <c r="K120" i="1"/>
  <c r="I120" i="1"/>
  <c r="M119" i="1"/>
  <c r="G120" i="1" a="1"/>
  <c r="P120" i="1"/>
  <c r="I119" i="1"/>
  <c r="Q119" i="1" l="1"/>
  <c r="C89" i="15"/>
  <c r="P121" i="1"/>
  <c r="G120" i="1"/>
  <c r="C81" i="15"/>
  <c r="Q120" i="1"/>
  <c r="I121" i="1"/>
  <c r="K121" i="1"/>
  <c r="O121" i="1"/>
  <c r="M121" i="1"/>
  <c r="N121" i="1"/>
  <c r="L121" i="1"/>
  <c r="J121" i="1"/>
  <c r="B81" i="15" l="1"/>
  <c r="H120" i="1" a="1"/>
  <c r="H120" i="1" s="1"/>
  <c r="T4" i="1" l="1"/>
  <c r="T36" i="1"/>
  <c r="T60" i="1"/>
  <c r="T52" i="1"/>
  <c r="T44" i="1"/>
  <c r="T20" i="1"/>
  <c r="T28" i="1"/>
  <c r="T14" i="1"/>
  <c r="T23" i="1"/>
  <c r="T61" i="1"/>
  <c r="T30" i="1"/>
  <c r="T55" i="1"/>
  <c r="T38" i="1"/>
  <c r="T46" i="1"/>
  <c r="T7" i="1"/>
  <c r="T31" i="1"/>
  <c r="T22" i="1"/>
  <c r="T37" i="1"/>
  <c r="T62" i="1"/>
  <c r="T63" i="1"/>
  <c r="T45" i="1"/>
  <c r="T47" i="1"/>
  <c r="T39" i="1"/>
  <c r="T21" i="1"/>
  <c r="T5" i="1"/>
  <c r="T53" i="1"/>
  <c r="T54" i="1"/>
  <c r="T29" i="1"/>
  <c r="T12" i="1"/>
  <c r="T15" i="1"/>
  <c r="T6" i="1"/>
  <c r="T13" i="1"/>
  <c r="T32" i="1" l="1"/>
  <c r="T24" i="1"/>
  <c r="T16" i="1"/>
  <c r="T48" i="1"/>
  <c r="T56" i="1"/>
  <c r="T64" i="1"/>
  <c r="T40" i="1"/>
  <c r="T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<sst xmlns="http://schemas.openxmlformats.org/spreadsheetml/2006/main" count="6144" uniqueCount="220">
  <si>
    <t>PE</t>
  </si>
  <si>
    <t>Total # Sold</t>
  </si>
  <si>
    <t>Total Sales</t>
  </si>
  <si>
    <t>Product Name</t>
  </si>
  <si>
    <t>Sales</t>
  </si>
  <si>
    <t>Quantity</t>
  </si>
  <si>
    <t>Original - Bottle 24 x 500ml</t>
  </si>
  <si>
    <t>Traditional - Bottle 24 x 500ml</t>
  </si>
  <si>
    <t>Whisky Cask - Bottle 24 x 500ml</t>
  </si>
  <si>
    <t>Strawberry - Bottle 24 x 500ml</t>
  </si>
  <si>
    <t xml:space="preserve">Ginger - Bottle 24 x 330ml </t>
  </si>
  <si>
    <t>Cloudy - 2x5L Ciderbox 2 x 5L Ciderbox</t>
  </si>
  <si>
    <t>Thistly Cross Selection Box Gift Box</t>
  </si>
  <si>
    <t>Original - Bottle 24 x 330ml</t>
  </si>
  <si>
    <t>Traditional Cider Liqueur  50cl</t>
  </si>
  <si>
    <t>Whisky Cask - 20L Ciderbox 20L Ciderbox</t>
  </si>
  <si>
    <t>Whisky Cask - 10L Ciderbox 10L</t>
  </si>
  <si>
    <t>Traditional - Bottle 24 x 330ml</t>
  </si>
  <si>
    <t xml:space="preserve">Mix &amp; Match 330ml Bottle Case (24 Bottles) </t>
  </si>
  <si>
    <t>Scottish Fruits Cider Liqueur  50cl</t>
  </si>
  <si>
    <t>Whisky Cask - Bottle 24 x 330ml</t>
  </si>
  <si>
    <t xml:space="preserve">Mix &amp; Match 500ml Bottle Case (24 bottles) </t>
  </si>
  <si>
    <t>Elderflower - Bottle 24 x 500ml</t>
  </si>
  <si>
    <t xml:space="preserve">MIx + Match 500ml - March Offer </t>
  </si>
  <si>
    <t>KA</t>
  </si>
  <si>
    <t>Traditional - 2x5L Ciderbox 2 x 5L Ciderbox</t>
  </si>
  <si>
    <t xml:space="preserve">Mull at Home Cider Kit </t>
  </si>
  <si>
    <t>Cloudy - Bottle 24 x 330ml</t>
  </si>
  <si>
    <t xml:space="preserve">Strawberry - Can </t>
  </si>
  <si>
    <t xml:space="preserve">Paolozzi Lager </t>
  </si>
  <si>
    <t xml:space="preserve">Elderflower 0.5% 8 x 500ml </t>
  </si>
  <si>
    <t>Strawberry + Scottish Fruits 330ml Cans 24x330ml cans</t>
  </si>
  <si>
    <t>Whisky Cask - Can 24 x 330ml</t>
  </si>
  <si>
    <t xml:space="preserve">Mix &amp; Match Ciderboxes (2x5L)  </t>
  </si>
  <si>
    <t>Strawberry - 20L Ciderbox 20L Ciderbox</t>
  </si>
  <si>
    <t>Scottish Fruits 24 x 330ml</t>
  </si>
  <si>
    <t xml:space="preserve">Scottish Fruits - Bottle </t>
  </si>
  <si>
    <t>Ginger - Bottle 24 x 500ml</t>
  </si>
  <si>
    <t>Ginger - 20L Ciderbox 20L Ciderbox</t>
  </si>
  <si>
    <t xml:space="preserve">Mulled Cider - 2x5L Ciderbox </t>
  </si>
  <si>
    <t xml:space="preserve">Thistly Cross Cider Bumper Box </t>
  </si>
  <si>
    <t>Traditional Cider Liqueur 50cl</t>
  </si>
  <si>
    <t>Elderflower - 2x5L Ciderbox 2 x 5L Ciderbox</t>
  </si>
  <si>
    <t>Scottish Fruits Cider Liqueur - Mother's Day Offer 50cl</t>
  </si>
  <si>
    <t>Cidershed 24 x 330ml</t>
  </si>
  <si>
    <t>Scottish Fruits Cider Liqueur - Valentines Pack 50cl</t>
  </si>
  <si>
    <t>EC</t>
  </si>
  <si>
    <t>Elderflower - 20L Ciderbox 20L Ciderbox</t>
  </si>
  <si>
    <t>TD</t>
  </si>
  <si>
    <t>Whisky Cask - 2x5L Ciderbox 2 x 5L Ciderbox</t>
  </si>
  <si>
    <t>Elderflower 0.5% 24 x 500ml</t>
  </si>
  <si>
    <t>Traditional - Can 24 x 330ml</t>
  </si>
  <si>
    <t>Original - 20L Ciderbox 20L Ciderbox</t>
  </si>
  <si>
    <t>Traditional Cider Liqueur - 2 free bottles of Ginger Cider included! 50cl</t>
  </si>
  <si>
    <t>Elderflower - Bottle 24 x 330ml</t>
  </si>
  <si>
    <t>Original - Can 24x330ml</t>
  </si>
  <si>
    <t>Strawberry - Bottle 24 x 330ml</t>
  </si>
  <si>
    <t>Original - 2x5L Ciderbox 2 x 5L Ciderbox</t>
  </si>
  <si>
    <t>OX</t>
  </si>
  <si>
    <t>Strawberry - 2x5L Ciderbox 2 x 5L Ciderbox</t>
  </si>
  <si>
    <t>AB</t>
  </si>
  <si>
    <t>Traditional - 20L Ciderbox 20L Ciderbox</t>
  </si>
  <si>
    <t xml:space="preserve">Thistly Variety Can Pack </t>
  </si>
  <si>
    <t>Scottish Fruits - Bottle 24x330ml</t>
  </si>
  <si>
    <t>Elderflower - Can 24 x 330ml</t>
  </si>
  <si>
    <t xml:space="preserve">Mix + Match 500ml - Special Offer (Traditional &amp; Strawberry) </t>
  </si>
  <si>
    <t xml:space="preserve">Mix + Match 500ml - March Offer (Traditional &amp; Strawberry) </t>
  </si>
  <si>
    <t xml:space="preserve">Mix + Match 500ml - March Offer (Elderflower &amp; Whisky Cask) </t>
  </si>
  <si>
    <t>Scottish Fruits Cider Liqueur 50cl</t>
  </si>
  <si>
    <t>Cloudy - 20L Ciderbox 20L Ciderbox</t>
  </si>
  <si>
    <t>SE</t>
  </si>
  <si>
    <t>Ginger - 2x5L Ciderbox 2 x 5L Ciderbox</t>
  </si>
  <si>
    <t>L</t>
  </si>
  <si>
    <t>G</t>
  </si>
  <si>
    <t xml:space="preserve">Jaggy Thistle 20L Ciderbox </t>
  </si>
  <si>
    <t>CB</t>
  </si>
  <si>
    <t>CF</t>
  </si>
  <si>
    <t>EH</t>
  </si>
  <si>
    <t>Scottish Fruits - Bottle 24x500ml</t>
  </si>
  <si>
    <t>Traditional Bag In Box 5L</t>
  </si>
  <si>
    <t>Traditional 12 x 500ml Bottles</t>
  </si>
  <si>
    <t>Ginger 12 x 330ml bottles</t>
  </si>
  <si>
    <t>IP</t>
  </si>
  <si>
    <t>BT</t>
  </si>
  <si>
    <t>B</t>
  </si>
  <si>
    <t>NG</t>
  </si>
  <si>
    <t>IV</t>
  </si>
  <si>
    <t>HA</t>
  </si>
  <si>
    <t>S</t>
  </si>
  <si>
    <t>SY</t>
  </si>
  <si>
    <t>NW</t>
  </si>
  <si>
    <t>BA</t>
  </si>
  <si>
    <t>NP</t>
  </si>
  <si>
    <t>KY</t>
  </si>
  <si>
    <t>PH</t>
  </si>
  <si>
    <t>SP</t>
  </si>
  <si>
    <t>FK</t>
  </si>
  <si>
    <t>DG</t>
  </si>
  <si>
    <t>TA</t>
  </si>
  <si>
    <t>BS</t>
  </si>
  <si>
    <t>SG</t>
  </si>
  <si>
    <t>ML</t>
  </si>
  <si>
    <t>RG</t>
  </si>
  <si>
    <t>BH</t>
  </si>
  <si>
    <t>BN</t>
  </si>
  <si>
    <t>GL</t>
  </si>
  <si>
    <t>SK</t>
  </si>
  <si>
    <t>UB</t>
  </si>
  <si>
    <t>LA</t>
  </si>
  <si>
    <t>SR</t>
  </si>
  <si>
    <t>BD</t>
  </si>
  <si>
    <t>PR</t>
  </si>
  <si>
    <t>WS</t>
  </si>
  <si>
    <t>DN</t>
  </si>
  <si>
    <t>DH</t>
  </si>
  <si>
    <t>LS</t>
  </si>
  <si>
    <t>LN</t>
  </si>
  <si>
    <t>PA</t>
  </si>
  <si>
    <t>LL</t>
  </si>
  <si>
    <t>NE</t>
  </si>
  <si>
    <t>CA</t>
  </si>
  <si>
    <t>TN</t>
  </si>
  <si>
    <t>WA</t>
  </si>
  <si>
    <t>SW</t>
  </si>
  <si>
    <t>SL</t>
  </si>
  <si>
    <t>GU</t>
  </si>
  <si>
    <t>BR</t>
  </si>
  <si>
    <t>KT</t>
  </si>
  <si>
    <t>OL</t>
  </si>
  <si>
    <t>CH</t>
  </si>
  <si>
    <t>DE</t>
  </si>
  <si>
    <t>E</t>
  </si>
  <si>
    <t>ME</t>
  </si>
  <si>
    <t>SO</t>
  </si>
  <si>
    <t>ST</t>
  </si>
  <si>
    <t>LE</t>
  </si>
  <si>
    <t>TW</t>
  </si>
  <si>
    <t>NR</t>
  </si>
  <si>
    <t>HP</t>
  </si>
  <si>
    <t>ZE</t>
  </si>
  <si>
    <t>NN</t>
  </si>
  <si>
    <t>YO</t>
  </si>
  <si>
    <t>CV</t>
  </si>
  <si>
    <t>CT</t>
  </si>
  <si>
    <t>HD</t>
  </si>
  <si>
    <t>CR</t>
  </si>
  <si>
    <t>SN</t>
  </si>
  <si>
    <t>SS</t>
  </si>
  <si>
    <t>AL</t>
  </si>
  <si>
    <t>CO</t>
  </si>
  <si>
    <t>EN</t>
  </si>
  <si>
    <t>DL</t>
  </si>
  <si>
    <t>BL</t>
  </si>
  <si>
    <t>DD</t>
  </si>
  <si>
    <t>CM</t>
  </si>
  <si>
    <t>M</t>
  </si>
  <si>
    <t>DA</t>
  </si>
  <si>
    <t>WV</t>
  </si>
  <si>
    <t>KW</t>
  </si>
  <si>
    <t>HG</t>
  </si>
  <si>
    <t>MK</t>
  </si>
  <si>
    <t>WD</t>
  </si>
  <si>
    <t>TS</t>
  </si>
  <si>
    <t>DY</t>
  </si>
  <si>
    <t>RM</t>
  </si>
  <si>
    <t>TF</t>
  </si>
  <si>
    <t>WR</t>
  </si>
  <si>
    <t>HU</t>
  </si>
  <si>
    <t>RH</t>
  </si>
  <si>
    <t>SA</t>
  </si>
  <si>
    <t>TQ</t>
  </si>
  <si>
    <t>HX</t>
  </si>
  <si>
    <t>WF</t>
  </si>
  <si>
    <t>TR</t>
  </si>
  <si>
    <t>HR</t>
  </si>
  <si>
    <t>FY</t>
  </si>
  <si>
    <t>N</t>
  </si>
  <si>
    <t>PL</t>
  </si>
  <si>
    <t>WN</t>
  </si>
  <si>
    <t>DT</t>
  </si>
  <si>
    <t>CW</t>
  </si>
  <si>
    <t>LU</t>
  </si>
  <si>
    <t>PO</t>
  </si>
  <si>
    <t>BB</t>
  </si>
  <si>
    <t>HS</t>
  </si>
  <si>
    <t>W</t>
  </si>
  <si>
    <t>EX</t>
  </si>
  <si>
    <t>SM</t>
  </si>
  <si>
    <t>IG</t>
  </si>
  <si>
    <t>TB</t>
  </si>
  <si>
    <t>EG</t>
  </si>
  <si>
    <t>Whisky Cask 24 x 330ml Cans</t>
  </si>
  <si>
    <t>Whisky Cask Bag In Box 5L</t>
  </si>
  <si>
    <t>LD</t>
  </si>
  <si>
    <t>GY</t>
  </si>
  <si>
    <t>EJ</t>
  </si>
  <si>
    <t>Index</t>
  </si>
  <si>
    <t>England</t>
  </si>
  <si>
    <t>Scotland</t>
  </si>
  <si>
    <t>Scottish Postcode Area Codes</t>
  </si>
  <si>
    <t>English Postcode Area Codes</t>
  </si>
  <si>
    <t>WC</t>
  </si>
  <si>
    <t>N.Irish Postcode Area Codes</t>
  </si>
  <si>
    <t>Welsh Postcode Area Codes</t>
  </si>
  <si>
    <t>Area</t>
  </si>
  <si>
    <t>N.Ireland</t>
  </si>
  <si>
    <t>Wales</t>
  </si>
  <si>
    <t>Whisky Cask</t>
  </si>
  <si>
    <t>Strawberry</t>
  </si>
  <si>
    <t>Ginger</t>
  </si>
  <si>
    <t>Elderflower</t>
  </si>
  <si>
    <t>Original</t>
  </si>
  <si>
    <t>Scottish Fruits</t>
  </si>
  <si>
    <t>Cloudy</t>
  </si>
  <si>
    <t>Traditional</t>
  </si>
  <si>
    <t>Total</t>
  </si>
  <si>
    <t>Location</t>
  </si>
  <si>
    <t>Region</t>
  </si>
  <si>
    <t>Regional Distribution of Sales by Product</t>
  </si>
  <si>
    <t>Whisky Cask Sales Sorted by Area Per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</si>
</sst>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A010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23" fillId="0" borderId="0" xfId="0" applyFont="1"/>
    <xf numFmtId="0" fontId="20" fillId="0" borderId="10" xfId="0" applyFont="1" applyBorder="1" applyAlignment="1">
      <alignment horizontal="left" vertical="center"/>
    </xf>
    <xf numFmtId="164" fontId="20" fillId="0" borderId="10" xfId="0" applyNumberFormat="1" applyFont="1" applyBorder="1" applyAlignment="1">
      <alignment horizontal="left" vertical="center"/>
    </xf>
    <xf numFmtId="164" fontId="0" fillId="0" borderId="10" xfId="0" applyNumberFormat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EBAFF"/>
      <color rgb="FFE3851D"/>
      <color rgb="FFB694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Data!$T$2:$T$3</c:f>
              <c:strCache>
                <c:ptCount val="2"/>
                <c:pt idx="0">
                  <c:v>Whisky Cask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C6-4D93-B9F0-C20CB0BE9AB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C6-4D93-B9F0-C20CB0BE9AB5}"/>
              </c:ext>
            </c:extLst>
          </c:dPt>
          <c:dPt>
            <c:idx val="2"/>
            <c:bubble3D val="0"/>
            <c:spPr>
              <a:solidFill>
                <a:srgbClr val="E385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C6-4D93-B9F0-C20CB0BE9AB5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C6-4D93-B9F0-C20CB0BE9AB5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C6-4D93-B9F0-C20CB0BE9A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Data!$S$4:$S$7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N.Ireland</c:v>
                </c:pt>
                <c:pt idx="3">
                  <c:v>Wales</c:v>
                </c:pt>
              </c:strCache>
            </c:strRef>
          </c:cat>
          <c:val>
            <c:numRef>
              <c:f>Data!$T$4:$T$7</c:f>
              <c:numCache>
                <c:formatCode>"£"#,##0.00</c:formatCode>
                <c:ptCount val="4"/>
                <c:pt idx="0">
                  <c:v>77607.810000000027</c:v>
                </c:pt>
                <c:pt idx="1">
                  <c:v>22155.8</c:v>
                </c:pt>
                <c:pt idx="2">
                  <c:v>694</c:v>
                </c:pt>
                <c:pt idx="3">
                  <c:v>5700.2499999999991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C6-4D93-B9F0-C20CB0BE9A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Data!$T$10:$T$11</c:f>
              <c:strCache>
                <c:ptCount val="2"/>
                <c:pt idx="0">
                  <c:v>Strawberry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73-44CC-8014-A1DE89D48AE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73-44CC-8014-A1DE89D48AE1}"/>
              </c:ext>
            </c:extLst>
          </c:dPt>
          <c:dPt>
            <c:idx val="2"/>
            <c:bubble3D val="0"/>
            <c:spPr>
              <a:solidFill>
                <a:srgbClr val="E385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73-44CC-8014-A1DE89D48AE1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73-44CC-8014-A1DE89D48AE1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73-44CC-8014-A1DE89D48AE1}"/>
              </c:ext>
            </c:extLst>
          </c:dPt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Data!$S$12:$S$15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N.Ireland</c:v>
                </c:pt>
                <c:pt idx="3">
                  <c:v>Wales</c:v>
                </c:pt>
              </c:strCache>
            </c:strRef>
          </c:cat>
          <c:val>
            <c:numRef>
              <c:f>Data!$T$12:$T$15</c:f>
              <c:numCache>
                <c:formatCode>"£"#,##0.00</c:formatCode>
                <c:ptCount val="4"/>
                <c:pt idx="0">
                  <c:v>4733.07</c:v>
                </c:pt>
                <c:pt idx="1">
                  <c:v>5786.3099999999995</c:v>
                </c:pt>
                <c:pt idx="2">
                  <c:v>0</c:v>
                </c:pt>
                <c:pt idx="3">
                  <c:v>221.55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73-44CC-8014-A1DE89D48AE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Data!$T$18:$T$19</c:f>
              <c:strCache>
                <c:ptCount val="2"/>
                <c:pt idx="0">
                  <c:v>Ginger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77-420B-84EA-274AB9EBD3A3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77-420B-84EA-274AB9EBD3A3}"/>
              </c:ext>
            </c:extLst>
          </c:dPt>
          <c:dPt>
            <c:idx val="2"/>
            <c:bubble3D val="0"/>
            <c:spPr>
              <a:solidFill>
                <a:srgbClr val="E385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77-420B-84EA-274AB9EBD3A3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77-420B-84EA-274AB9EBD3A3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77-420B-84EA-274AB9EBD3A3}"/>
              </c:ext>
            </c:extLst>
          </c:dPt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Data!$S$20:$S$23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N.Ireland</c:v>
                </c:pt>
                <c:pt idx="3">
                  <c:v>Wales</c:v>
                </c:pt>
              </c:strCache>
            </c:strRef>
          </c:cat>
          <c:val>
            <c:numRef>
              <c:f>Data!$T$20:$T$23</c:f>
              <c:numCache>
                <c:formatCode>"£"#,##0.00</c:formatCode>
                <c:ptCount val="4"/>
                <c:pt idx="0">
                  <c:v>3128.3000000000011</c:v>
                </c:pt>
                <c:pt idx="1">
                  <c:v>3858.1699999999992</c:v>
                </c:pt>
                <c:pt idx="2">
                  <c:v>0</c:v>
                </c:pt>
                <c:pt idx="3">
                  <c:v>169.8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77-420B-84EA-274AB9EBD3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Data!$T$26:$T$27</c:f>
              <c:strCache>
                <c:ptCount val="2"/>
                <c:pt idx="0">
                  <c:v>Elderflower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8-41B0-8866-C01FCDF2C57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08-41B0-8866-C01FCDF2C579}"/>
              </c:ext>
            </c:extLst>
          </c:dPt>
          <c:dPt>
            <c:idx val="2"/>
            <c:bubble3D val="0"/>
            <c:spPr>
              <a:solidFill>
                <a:srgbClr val="E385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08-41B0-8866-C01FCDF2C579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08-41B0-8866-C01FCDF2C579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08-41B0-8866-C01FCDF2C5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Data!$S$28:$S$31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N.Ireland</c:v>
                </c:pt>
                <c:pt idx="3">
                  <c:v>Wales</c:v>
                </c:pt>
              </c:strCache>
            </c:strRef>
          </c:cat>
          <c:val>
            <c:numRef>
              <c:f>Data!$T$28:$T$31</c:f>
              <c:numCache>
                <c:formatCode>"£"#,##0.00</c:formatCode>
                <c:ptCount val="4"/>
                <c:pt idx="0">
                  <c:v>9759.8999999999978</c:v>
                </c:pt>
                <c:pt idx="1">
                  <c:v>7778.6399999999994</c:v>
                </c:pt>
                <c:pt idx="2">
                  <c:v>109.19</c:v>
                </c:pt>
                <c:pt idx="3">
                  <c:v>582.32999999999993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08-41B0-8866-C01FCDF2C5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Data!$T$34:$T$35</c:f>
              <c:strCache>
                <c:ptCount val="2"/>
                <c:pt idx="0">
                  <c:v>Original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36-4667-83C9-C3F9E5E4E8E6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36-4667-83C9-C3F9E5E4E8E6}"/>
              </c:ext>
            </c:extLst>
          </c:dPt>
          <c:dPt>
            <c:idx val="2"/>
            <c:bubble3D val="0"/>
            <c:spPr>
              <a:solidFill>
                <a:srgbClr val="E385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36-4667-83C9-C3F9E5E4E8E6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36-4667-83C9-C3F9E5E4E8E6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36-4667-83C9-C3F9E5E4E8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Data!$S$36:$S$39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N.Ireland</c:v>
                </c:pt>
                <c:pt idx="3">
                  <c:v>Wales</c:v>
                </c:pt>
              </c:strCache>
            </c:strRef>
          </c:cat>
          <c:val>
            <c:numRef>
              <c:f>Data!$T$36:$T$39</c:f>
              <c:numCache>
                <c:formatCode>"£"#,##0.00</c:formatCode>
                <c:ptCount val="4"/>
                <c:pt idx="0">
                  <c:v>9783.5999999999967</c:v>
                </c:pt>
                <c:pt idx="1">
                  <c:v>9394.7999999999993</c:v>
                </c:pt>
                <c:pt idx="2">
                  <c:v>94.8</c:v>
                </c:pt>
                <c:pt idx="3">
                  <c:v>195.20000000000002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36-4667-83C9-C3F9E5E4E8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Data!$T$42:$T$43</c:f>
              <c:strCache>
                <c:ptCount val="2"/>
                <c:pt idx="0">
                  <c:v>Scottish Fruits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A0-49F4-84C1-62F0A9325B8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A0-49F4-84C1-62F0A9325B85}"/>
              </c:ext>
            </c:extLst>
          </c:dPt>
          <c:dPt>
            <c:idx val="2"/>
            <c:bubble3D val="0"/>
            <c:spPr>
              <a:solidFill>
                <a:srgbClr val="E385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A0-49F4-84C1-62F0A9325B85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A0-49F4-84C1-62F0A9325B85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A0-49F4-84C1-62F0A9325B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Data!$S$44:$S$47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N.Ireland</c:v>
                </c:pt>
                <c:pt idx="3">
                  <c:v>Wales</c:v>
                </c:pt>
              </c:strCache>
            </c:strRef>
          </c:cat>
          <c:val>
            <c:numRef>
              <c:f>Data!$T$44:$T$47</c:f>
              <c:numCache>
                <c:formatCode>"£"#,##0.00</c:formatCode>
                <c:ptCount val="4"/>
                <c:pt idx="0">
                  <c:v>3833.6000000000013</c:v>
                </c:pt>
                <c:pt idx="1">
                  <c:v>4363.8200000000006</c:v>
                </c:pt>
                <c:pt idx="2">
                  <c:v>28.75</c:v>
                </c:pt>
                <c:pt idx="3">
                  <c:v>95.9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A0-49F4-84C1-62F0A9325B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Data!$T$50:$T$51</c:f>
              <c:strCache>
                <c:ptCount val="2"/>
                <c:pt idx="0">
                  <c:v>Cloudy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39-47DB-A9BC-2DF527E9575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39-47DB-A9BC-2DF527E95755}"/>
              </c:ext>
            </c:extLst>
          </c:dPt>
          <c:dPt>
            <c:idx val="2"/>
            <c:bubble3D val="0"/>
            <c:spPr>
              <a:solidFill>
                <a:srgbClr val="E385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39-47DB-A9BC-2DF527E95755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39-47DB-A9BC-2DF527E95755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39-47DB-A9BC-2DF527E95755}"/>
              </c:ext>
            </c:extLst>
          </c:dPt>
          <c:dLbls>
            <c:numFmt formatCode="0%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Data!$S$52:$S$55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N.Ireland</c:v>
                </c:pt>
                <c:pt idx="3">
                  <c:v>Wales</c:v>
                </c:pt>
              </c:strCache>
            </c:strRef>
          </c:cat>
          <c:val>
            <c:numRef>
              <c:f>Data!$T$52:$T$55</c:f>
              <c:numCache>
                <c:formatCode>"£"#,##0.00</c:formatCode>
                <c:ptCount val="4"/>
                <c:pt idx="0">
                  <c:v>1734.4000000000005</c:v>
                </c:pt>
                <c:pt idx="1">
                  <c:v>2929.6000000000004</c:v>
                </c:pt>
                <c:pt idx="2">
                  <c:v>0</c:v>
                </c:pt>
                <c:pt idx="3">
                  <c:v>179.2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39-47DB-A9BC-2DF527E957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Data!$T$58:$T$59</c:f>
              <c:strCache>
                <c:ptCount val="2"/>
                <c:pt idx="0">
                  <c:v>Traditional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6D-47F7-A9F1-A8D1E4A3075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6D-47F7-A9F1-A8D1E4A30751}"/>
              </c:ext>
            </c:extLst>
          </c:dPt>
          <c:dPt>
            <c:idx val="2"/>
            <c:bubble3D val="0"/>
            <c:spPr>
              <a:solidFill>
                <a:srgbClr val="E385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6D-47F7-A9F1-A8D1E4A30751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6D-47F7-A9F1-A8D1E4A30751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6D-47F7-A9F1-A8D1E4A307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Data!$S$60:$S$63</c:f>
              <c:strCache>
                <c:ptCount val="4"/>
                <c:pt idx="0">
                  <c:v>England</c:v>
                </c:pt>
                <c:pt idx="1">
                  <c:v>Scotland</c:v>
                </c:pt>
                <c:pt idx="2">
                  <c:v>N.Ireland</c:v>
                </c:pt>
                <c:pt idx="3">
                  <c:v>Wales</c:v>
                </c:pt>
              </c:strCache>
            </c:strRef>
          </c:cat>
          <c:val>
            <c:numRef>
              <c:f>Data!$T$60:$T$63</c:f>
              <c:numCache>
                <c:formatCode>"£"#,##0.00</c:formatCode>
                <c:ptCount val="4"/>
                <c:pt idx="0">
                  <c:v>21320.300000000003</c:v>
                </c:pt>
                <c:pt idx="1">
                  <c:v>26788.44</c:v>
                </c:pt>
                <c:pt idx="2">
                  <c:v>421.09999999999997</c:v>
                </c:pt>
                <c:pt idx="3">
                  <c:v>1719.05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6D-47F7-A9F1-A8D1E4A307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85725</xdr:rowOff>
    </xdr:from>
    <xdr:to>
      <xdr:col>7</xdr:col>
      <xdr:colOff>304800</xdr:colOff>
      <xdr:row>16</xdr:row>
      <xdr:rowOff>161925</xdr:rowOff>
    </xdr:to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D0D4B834-2CC0-4272-BC19-1E2F9F7D4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2</xdr:row>
      <xdr:rowOff>85725</xdr:rowOff>
    </xdr:from>
    <xdr:to>
      <xdr:col>15</xdr:col>
      <xdr:colOff>0</xdr:colOff>
      <xdr:row>16</xdr:row>
      <xdr:rowOff>161925</xdr:rowOff>
    </xdr:to>
    <xdr:graphicFrame macro="">
      <xdr:nvGraphicFramePr>
        <xdr:cNvPr id="5" name="Chart 16">
          <a:extLst>
            <a:ext uri="{FF2B5EF4-FFF2-40B4-BE49-F238E27FC236}">
              <a16:creationId xmlns:a16="http://schemas.microsoft.com/office/drawing/2014/main" id="{5B0E628C-9890-4B6E-8FC8-31FD82A70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85725</xdr:rowOff>
    </xdr:from>
    <xdr:to>
      <xdr:col>22</xdr:col>
      <xdr:colOff>304800</xdr:colOff>
      <xdr:row>16</xdr:row>
      <xdr:rowOff>161925</xdr:rowOff>
    </xdr:to>
    <xdr:graphicFrame macro="">
      <xdr:nvGraphicFramePr>
        <xdr:cNvPr id="6" name="Chart 16">
          <a:extLst>
            <a:ext uri="{FF2B5EF4-FFF2-40B4-BE49-F238E27FC236}">
              <a16:creationId xmlns:a16="http://schemas.microsoft.com/office/drawing/2014/main" id="{FDE3B231-F831-4F09-8004-8B2FCD8BC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295275</xdr:colOff>
      <xdr:row>2</xdr:row>
      <xdr:rowOff>85725</xdr:rowOff>
    </xdr:from>
    <xdr:to>
      <xdr:col>29</xdr:col>
      <xdr:colOff>600075</xdr:colOff>
      <xdr:row>16</xdr:row>
      <xdr:rowOff>161925</xdr:rowOff>
    </xdr:to>
    <xdr:graphicFrame macro="">
      <xdr:nvGraphicFramePr>
        <xdr:cNvPr id="7" name="Chart 16">
          <a:extLst>
            <a:ext uri="{FF2B5EF4-FFF2-40B4-BE49-F238E27FC236}">
              <a16:creationId xmlns:a16="http://schemas.microsoft.com/office/drawing/2014/main" id="{AADFED88-F1AD-433D-A2E4-B5F1DEE6C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16</xdr:row>
      <xdr:rowOff>161925</xdr:rowOff>
    </xdr:from>
    <xdr:to>
      <xdr:col>7</xdr:col>
      <xdr:colOff>304800</xdr:colOff>
      <xdr:row>31</xdr:row>
      <xdr:rowOff>47625</xdr:rowOff>
    </xdr:to>
    <xdr:graphicFrame macro="">
      <xdr:nvGraphicFramePr>
        <xdr:cNvPr id="8" name="Chart 16">
          <a:extLst>
            <a:ext uri="{FF2B5EF4-FFF2-40B4-BE49-F238E27FC236}">
              <a16:creationId xmlns:a16="http://schemas.microsoft.com/office/drawing/2014/main" id="{AD9623F1-D029-44E4-B7A5-C91319F24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304800</xdr:colOff>
      <xdr:row>16</xdr:row>
      <xdr:rowOff>161925</xdr:rowOff>
    </xdr:from>
    <xdr:to>
      <xdr:col>15</xdr:col>
      <xdr:colOff>0</xdr:colOff>
      <xdr:row>31</xdr:row>
      <xdr:rowOff>47625</xdr:rowOff>
    </xdr:to>
    <xdr:graphicFrame macro="">
      <xdr:nvGraphicFramePr>
        <xdr:cNvPr id="9" name="Chart 16">
          <a:extLst>
            <a:ext uri="{FF2B5EF4-FFF2-40B4-BE49-F238E27FC236}">
              <a16:creationId xmlns:a16="http://schemas.microsoft.com/office/drawing/2014/main" id="{D6E91E2A-7488-4607-861F-0B6037916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16</xdr:row>
      <xdr:rowOff>161925</xdr:rowOff>
    </xdr:from>
    <xdr:to>
      <xdr:col>22</xdr:col>
      <xdr:colOff>304800</xdr:colOff>
      <xdr:row>31</xdr:row>
      <xdr:rowOff>47625</xdr:rowOff>
    </xdr:to>
    <xdr:graphicFrame macro="">
      <xdr:nvGraphicFramePr>
        <xdr:cNvPr id="10" name="Chart 16">
          <a:extLst>
            <a:ext uri="{FF2B5EF4-FFF2-40B4-BE49-F238E27FC236}">
              <a16:creationId xmlns:a16="http://schemas.microsoft.com/office/drawing/2014/main" id="{58F1E749-4FC3-4710-B734-31B1B3BF9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295275</xdr:colOff>
      <xdr:row>16</xdr:row>
      <xdr:rowOff>161925</xdr:rowOff>
    </xdr:from>
    <xdr:to>
      <xdr:col>29</xdr:col>
      <xdr:colOff>600075</xdr:colOff>
      <xdr:row>31</xdr:row>
      <xdr:rowOff>47625</xdr:rowOff>
    </xdr:to>
    <xdr:graphicFrame macro="">
      <xdr:nvGraphicFramePr>
        <xdr:cNvPr id="11" name="Chart 16">
          <a:extLst>
            <a:ext uri="{FF2B5EF4-FFF2-40B4-BE49-F238E27FC236}">
              <a16:creationId xmlns:a16="http://schemas.microsoft.com/office/drawing/2014/main" id="{E225EFC7-AF17-48DB-976E-4C6988612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EB87-0D69-476D-BFF9-3F112AE065E1}">
  <dimension ref="A1:AD1"/>
  <sheetViews>
    <sheetView showGridLines="0" tabSelected="1" zoomScale="75" zoomScaleNormal="75" workbookViewId="0">
      <selection activeCell="AA44" sqref="AA44"/>
    </sheetView>
  </sheetViews>
  <sheetFormatPr defaultRowHeight="15" x14ac:dyDescent="0.25"/>
  <sheetData>
    <row r="1" spans="1:30" ht="28.5" x14ac:dyDescent="0.45">
      <c r="A1" s="14" t="s">
        <v>218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</sheetData>
  <mergeCells count="1">
    <mergeCell ref="A1:AD1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4E38-0431-4F00-B2ED-0AE325E7B935}">
  <dimension ref="B1:L602"/>
  <sheetViews>
    <sheetView showGridLines="0" workbookViewId="0">
      <selection activeCell="K9" sqref="K9"/>
    </sheetView>
  </sheetViews>
  <sheetFormatPr defaultRowHeight="15" x14ac:dyDescent="0.25"/>
  <cols>
    <col min="3" max="3" width="9.42578125" bestFit="1" customWidth="1"/>
    <col min="4" max="4" width="13.140625" bestFit="1" customWidth="1"/>
    <col min="7" max="7" width="15" bestFit="1" customWidth="1"/>
    <col min="8" max="8" width="7.7109375" bestFit="1" customWidth="1"/>
  </cols>
  <sheetData>
    <row r="1" spans="2:12" ht="26.25" x14ac:dyDescent="0.4">
      <c r="B1" s="15" t="s">
        <v>219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2:12" ht="18.75" x14ac:dyDescent="0.3">
      <c r="B3" s="16" t="s">
        <v>197</v>
      </c>
      <c r="C3" s="16"/>
      <c r="D3" s="9"/>
      <c r="E3" s="17" t="s">
        <v>198</v>
      </c>
      <c r="F3" s="18"/>
      <c r="G3" s="9"/>
      <c r="H3" s="16" t="s">
        <v>206</v>
      </c>
      <c r="I3" s="16"/>
      <c r="J3" s="9"/>
      <c r="K3" s="16" t="s">
        <v>205</v>
      </c>
      <c r="L3" s="16"/>
    </row>
    <row r="4" spans="2:12" ht="15.75" x14ac:dyDescent="0.25">
      <c r="B4" s="10" t="s">
        <v>204</v>
      </c>
      <c r="C4" s="11" t="s">
        <v>4</v>
      </c>
      <c r="E4" s="10" t="s">
        <v>204</v>
      </c>
      <c r="F4" s="11" t="s">
        <v>4</v>
      </c>
      <c r="H4" s="10" t="s">
        <v>204</v>
      </c>
      <c r="I4" s="11" t="s">
        <v>4</v>
      </c>
      <c r="K4" s="10" t="s">
        <v>204</v>
      </c>
      <c r="L4" s="11" t="s">
        <v>4</v>
      </c>
    </row>
    <row r="5" spans="2:12" x14ac:dyDescent="0.25">
      <c r="B5" s="13" t="str">
        <f ca="1">Data!G52</f>
        <v>NE</v>
      </c>
      <c r="C5" s="12">
        <f ca="1">Data!I52</f>
        <v>3639.9499999999994</v>
      </c>
      <c r="E5" s="13" t="str">
        <f ca="1">Data!G14</f>
        <v>EH</v>
      </c>
      <c r="F5" s="12">
        <f ca="1">Data!I14</f>
        <v>5327.2</v>
      </c>
      <c r="H5" s="13" t="str">
        <f ca="1">Data!G25</f>
        <v>NP</v>
      </c>
      <c r="I5" s="12">
        <f ca="1">Data!I25</f>
        <v>2688</v>
      </c>
      <c r="K5" s="13" t="str">
        <f ca="1">Data!G16</f>
        <v>BT</v>
      </c>
      <c r="L5" s="12">
        <f ca="1">Data!I16</f>
        <v>694</v>
      </c>
    </row>
    <row r="6" spans="2:12" x14ac:dyDescent="0.25">
      <c r="B6" s="13" t="str">
        <f ca="1">Data!G39</f>
        <v>SK</v>
      </c>
      <c r="C6" s="12">
        <f ca="1">Data!I39</f>
        <v>2625.1499999999996</v>
      </c>
      <c r="E6" s="13" t="str">
        <f ca="1">Data!G8</f>
        <v>AB</v>
      </c>
      <c r="F6" s="12">
        <f ca="1">Data!I8</f>
        <v>2811.55</v>
      </c>
      <c r="H6" s="13" t="str">
        <f ca="1">Data!G13</f>
        <v>CF</v>
      </c>
      <c r="I6" s="12">
        <f ca="1">Data!I13</f>
        <v>1493.85</v>
      </c>
    </row>
    <row r="7" spans="2:12" x14ac:dyDescent="0.25">
      <c r="B7" s="13" t="str">
        <f ca="1">Data!G36</f>
        <v>BH</v>
      </c>
      <c r="C7" s="12">
        <f ca="1">Data!I36</f>
        <v>2497.2000000000003</v>
      </c>
      <c r="E7" s="13" t="str">
        <f ca="1">Data!G11</f>
        <v>G</v>
      </c>
      <c r="F7" s="12">
        <f ca="1">Data!I11</f>
        <v>2356.7499999999995</v>
      </c>
      <c r="H7" s="13" t="str">
        <f ca="1">Data!G51</f>
        <v>LL</v>
      </c>
      <c r="I7" s="12">
        <f ca="1">Data!I51</f>
        <v>804.40000000000009</v>
      </c>
    </row>
    <row r="8" spans="2:12" x14ac:dyDescent="0.25">
      <c r="B8" s="13" t="str">
        <f ca="1">Data!G32</f>
        <v>BS</v>
      </c>
      <c r="C8" s="12">
        <f ca="1">Data!I32</f>
        <v>2472</v>
      </c>
      <c r="E8" s="13" t="str">
        <f ca="1">Data!G19</f>
        <v>IV</v>
      </c>
      <c r="F8" s="12">
        <f ca="1">Data!I19</f>
        <v>2051.15</v>
      </c>
      <c r="H8" s="13" t="str">
        <f ca="1">Data!G22</f>
        <v>SY</v>
      </c>
      <c r="I8" s="12">
        <f ca="1">Data!I22</f>
        <v>404.8</v>
      </c>
    </row>
    <row r="9" spans="2:12" x14ac:dyDescent="0.25">
      <c r="B9" s="13" t="str">
        <f ca="1">Data!G18</f>
        <v>NG</v>
      </c>
      <c r="C9" s="12">
        <f ca="1">Data!I18</f>
        <v>1998.8</v>
      </c>
      <c r="E9" s="13" t="str">
        <f ca="1">Data!G34</f>
        <v>ML</v>
      </c>
      <c r="F9" s="12">
        <f ca="1">Data!I34</f>
        <v>1373.15</v>
      </c>
      <c r="H9" s="13" t="str">
        <f ca="1">Data!G101</f>
        <v>SA</v>
      </c>
      <c r="I9" s="12">
        <f ca="1">Data!I101</f>
        <v>309.2</v>
      </c>
    </row>
    <row r="10" spans="2:12" x14ac:dyDescent="0.25">
      <c r="B10" s="13" t="str">
        <f ca="1">Data!G63</f>
        <v>DE</v>
      </c>
      <c r="C10" s="12">
        <f ca="1">Data!I63</f>
        <v>1836.0000000000005</v>
      </c>
      <c r="E10" s="13" t="str">
        <f ca="1">Data!G27</f>
        <v>PH</v>
      </c>
      <c r="F10" s="12">
        <f ca="1">Data!I27</f>
        <v>1267.95</v>
      </c>
    </row>
    <row r="11" spans="2:12" x14ac:dyDescent="0.25">
      <c r="B11" s="13" t="str">
        <f ca="1">Data!G21</f>
        <v>S</v>
      </c>
      <c r="C11" s="12">
        <f ca="1">Data!I21</f>
        <v>1793.1500000000003</v>
      </c>
      <c r="E11" s="13" t="str">
        <f ca="1">Data!G85</f>
        <v>DD</v>
      </c>
      <c r="F11" s="12">
        <f ca="1">Data!I85</f>
        <v>1193.5999999999999</v>
      </c>
    </row>
    <row r="12" spans="2:12" x14ac:dyDescent="0.25">
      <c r="B12" s="13" t="str">
        <f ca="1">Data!G75</f>
        <v>CT</v>
      </c>
      <c r="C12" s="12">
        <f ca="1">Data!I75</f>
        <v>1706</v>
      </c>
      <c r="E12" s="13" t="str">
        <f ca="1">Data!G30</f>
        <v>DG</v>
      </c>
      <c r="F12" s="12">
        <f ca="1">Data!I30</f>
        <v>1182.7</v>
      </c>
    </row>
    <row r="13" spans="2:12" x14ac:dyDescent="0.25">
      <c r="B13" s="13" t="str">
        <f ca="1">Data!G48</f>
        <v>LS</v>
      </c>
      <c r="C13" s="12">
        <f ca="1">Data!I48</f>
        <v>1644</v>
      </c>
      <c r="E13" s="13" t="str">
        <f ca="1">Data!G26</f>
        <v>KY</v>
      </c>
      <c r="F13" s="12">
        <f ca="1">Data!I26</f>
        <v>1110.7</v>
      </c>
    </row>
    <row r="14" spans="2:12" x14ac:dyDescent="0.25">
      <c r="B14" s="13" t="str">
        <f ca="1">Data!G17</f>
        <v>B</v>
      </c>
      <c r="C14" s="12">
        <f ca="1">Data!I17</f>
        <v>1544.35</v>
      </c>
      <c r="E14" s="13" t="str">
        <f ca="1">Data!G29</f>
        <v>FK</v>
      </c>
      <c r="F14" s="12">
        <f ca="1">Data!I29</f>
        <v>974.69999999999993</v>
      </c>
    </row>
    <row r="15" spans="2:12" x14ac:dyDescent="0.25">
      <c r="B15" s="13" t="str">
        <f ca="1">Data!G100</f>
        <v>RH</v>
      </c>
      <c r="C15" s="12">
        <f ca="1">Data!I100</f>
        <v>1428.8</v>
      </c>
      <c r="E15" s="13" t="str">
        <f ca="1">Data!G6</f>
        <v>TD</v>
      </c>
      <c r="F15" s="12">
        <f ca="1">Data!I6</f>
        <v>857.60000000000014</v>
      </c>
    </row>
    <row r="16" spans="2:12" x14ac:dyDescent="0.25">
      <c r="B16" s="13" t="str">
        <f ca="1">Data!G65</f>
        <v>SO</v>
      </c>
      <c r="C16" s="12">
        <f ca="1">Data!I65</f>
        <v>1408.3000000000002</v>
      </c>
      <c r="E16" s="13" t="str">
        <f ca="1">Data!G50</f>
        <v>PA</v>
      </c>
      <c r="F16" s="12">
        <f ca="1">Data!I50</f>
        <v>801.94999999999993</v>
      </c>
    </row>
    <row r="17" spans="2:6" x14ac:dyDescent="0.25">
      <c r="B17" s="13" t="str">
        <f ca="1">Data!G35</f>
        <v>RG</v>
      </c>
      <c r="C17" s="12">
        <f ca="1">Data!I35</f>
        <v>1404.3999999999999</v>
      </c>
      <c r="E17" s="13" t="str">
        <f ca="1">Data!G4</f>
        <v>KA</v>
      </c>
      <c r="F17" s="12">
        <f ca="1">Data!I4</f>
        <v>433.2</v>
      </c>
    </row>
    <row r="18" spans="2:6" x14ac:dyDescent="0.25">
      <c r="B18" s="13" t="str">
        <f ca="1">Data!G66</f>
        <v>ST</v>
      </c>
      <c r="C18" s="12">
        <f ca="1">Data!I66</f>
        <v>1355.2</v>
      </c>
      <c r="E18" s="13" t="str">
        <f ca="1">Data!G116</f>
        <v>HS</v>
      </c>
      <c r="F18" s="12">
        <f ca="1">Data!I116</f>
        <v>192</v>
      </c>
    </row>
    <row r="19" spans="2:6" x14ac:dyDescent="0.25">
      <c r="B19" s="13" t="str">
        <f ca="1">Data!G3</f>
        <v>PE</v>
      </c>
      <c r="C19" s="12">
        <f ca="1">Data!I3</f>
        <v>1353.2</v>
      </c>
      <c r="E19" s="13" t="str">
        <f ca="1">Data!G71</f>
        <v>ZE</v>
      </c>
      <c r="F19" s="12">
        <f ca="1">Data!I71</f>
        <v>112</v>
      </c>
    </row>
    <row r="20" spans="2:6" x14ac:dyDescent="0.25">
      <c r="B20" s="13" t="str">
        <f ca="1">Data!G54</f>
        <v>TN</v>
      </c>
      <c r="C20" s="12">
        <f ca="1">Data!I54</f>
        <v>1260.8</v>
      </c>
      <c r="E20" s="13" t="str">
        <f ca="1">Data!G90</f>
        <v>KW</v>
      </c>
      <c r="F20" s="12">
        <f ca="1">Data!I90</f>
        <v>109.6</v>
      </c>
    </row>
    <row r="21" spans="2:6" x14ac:dyDescent="0.25">
      <c r="B21" s="13" t="str">
        <f ca="1">Data!G10</f>
        <v>L</v>
      </c>
      <c r="C21" s="12">
        <f ca="1">Data!I10</f>
        <v>1231.1999999999998</v>
      </c>
    </row>
    <row r="22" spans="2:6" x14ac:dyDescent="0.25">
      <c r="B22" s="13" t="str">
        <f ca="1">Data!G67</f>
        <v>LE</v>
      </c>
      <c r="C22" s="12">
        <f ca="1">Data!I67</f>
        <v>1229.95</v>
      </c>
    </row>
    <row r="23" spans="2:6" x14ac:dyDescent="0.25">
      <c r="B23" s="13" t="str">
        <f ca="1">Data!G95</f>
        <v>DY</v>
      </c>
      <c r="C23" s="12">
        <f ca="1">Data!I95</f>
        <v>1229.6000000000001</v>
      </c>
    </row>
    <row r="24" spans="2:6" x14ac:dyDescent="0.25">
      <c r="B24" s="13" t="str">
        <f ca="1">Data!G46</f>
        <v>DN</v>
      </c>
      <c r="C24" s="12">
        <f ca="1">Data!I46</f>
        <v>1214.4000000000001</v>
      </c>
    </row>
    <row r="25" spans="2:6" x14ac:dyDescent="0.25">
      <c r="B25" s="13" t="str">
        <f ca="1">Data!G74</f>
        <v>CV</v>
      </c>
      <c r="C25" s="12">
        <f ca="1">Data!I74</f>
        <v>1161.95</v>
      </c>
    </row>
    <row r="26" spans="2:6" x14ac:dyDescent="0.25">
      <c r="B26" s="13" t="str">
        <f ca="1">Data!G81</f>
        <v>CO</v>
      </c>
      <c r="C26" s="12">
        <f ca="1">Data!I81</f>
        <v>1132.3500000000001</v>
      </c>
    </row>
    <row r="27" spans="2:6" x14ac:dyDescent="0.25">
      <c r="B27" s="13" t="str">
        <f ca="1">Data!G72</f>
        <v>NN</v>
      </c>
      <c r="C27" s="12">
        <f ca="1">Data!I72</f>
        <v>1110.8</v>
      </c>
    </row>
    <row r="28" spans="2:6" x14ac:dyDescent="0.25">
      <c r="B28" s="13" t="str">
        <f ca="1">Data!G89</f>
        <v>WV</v>
      </c>
      <c r="C28" s="12">
        <f ca="1">Data!I89</f>
        <v>1074</v>
      </c>
    </row>
    <row r="29" spans="2:6" x14ac:dyDescent="0.25">
      <c r="B29" s="13" t="str">
        <f ca="1">Data!G99</f>
        <v>HU</v>
      </c>
      <c r="C29" s="12">
        <f ca="1">Data!I99</f>
        <v>1033.5999999999999</v>
      </c>
    </row>
    <row r="30" spans="2:6" x14ac:dyDescent="0.25">
      <c r="B30" s="13" t="str">
        <f ca="1">Data!G73</f>
        <v>YO</v>
      </c>
      <c r="C30" s="12">
        <f ca="1">Data!I73</f>
        <v>1026.4000000000001</v>
      </c>
    </row>
    <row r="31" spans="2:6" x14ac:dyDescent="0.25">
      <c r="B31" s="13" t="str">
        <f ca="1">Data!G37</f>
        <v>BN</v>
      </c>
      <c r="C31" s="12">
        <f ca="1">Data!I37</f>
        <v>1018</v>
      </c>
    </row>
    <row r="32" spans="2:6" x14ac:dyDescent="0.25">
      <c r="B32" s="13" t="str">
        <f ca="1">Data!G78</f>
        <v>SN</v>
      </c>
      <c r="C32" s="12">
        <f ca="1">Data!I78</f>
        <v>993.15</v>
      </c>
    </row>
    <row r="33" spans="2:3" x14ac:dyDescent="0.25">
      <c r="B33" s="13" t="str">
        <f ca="1">Data!G104</f>
        <v>WF</v>
      </c>
      <c r="C33" s="12">
        <f ca="1">Data!I104</f>
        <v>941.19999999999993</v>
      </c>
    </row>
    <row r="34" spans="2:3" x14ac:dyDescent="0.25">
      <c r="B34" s="13" t="str">
        <f ca="1">Data!G24</f>
        <v>BA</v>
      </c>
      <c r="C34" s="12">
        <f ca="1">Data!I24</f>
        <v>931.6</v>
      </c>
    </row>
    <row r="35" spans="2:3" x14ac:dyDescent="0.25">
      <c r="B35" s="13" t="str">
        <f ca="1">Data!G70</f>
        <v>HP</v>
      </c>
      <c r="C35" s="12">
        <f ca="1">Data!I70</f>
        <v>926</v>
      </c>
    </row>
    <row r="36" spans="2:3" x14ac:dyDescent="0.25">
      <c r="B36" s="13" t="str">
        <f ca="1">Data!G38</f>
        <v>GL</v>
      </c>
      <c r="C36" s="12">
        <f ca="1">Data!I38</f>
        <v>904</v>
      </c>
    </row>
    <row r="37" spans="2:3" x14ac:dyDescent="0.25">
      <c r="B37" s="13" t="str">
        <f ca="1">Data!G7</f>
        <v>OX</v>
      </c>
      <c r="C37" s="12">
        <f ca="1">Data!I7</f>
        <v>903.19999999999993</v>
      </c>
    </row>
    <row r="38" spans="2:3" x14ac:dyDescent="0.25">
      <c r="B38" s="13" t="str">
        <f ca="1">Data!G92</f>
        <v>MK</v>
      </c>
      <c r="C38" s="12">
        <f ca="1">Data!I92</f>
        <v>853.6</v>
      </c>
    </row>
    <row r="39" spans="2:3" x14ac:dyDescent="0.25">
      <c r="B39" s="13" t="str">
        <f ca="1">Data!G9</f>
        <v>SE</v>
      </c>
      <c r="C39" s="12">
        <f ca="1">Data!I9</f>
        <v>832.00000000000011</v>
      </c>
    </row>
    <row r="40" spans="2:3" x14ac:dyDescent="0.25">
      <c r="B40" s="13" t="str">
        <f ca="1">Data!G108</f>
        <v>N</v>
      </c>
      <c r="C40" s="12">
        <f ca="1">Data!I108</f>
        <v>817.6</v>
      </c>
    </row>
    <row r="41" spans="2:3" x14ac:dyDescent="0.25">
      <c r="B41" s="13" t="str">
        <f ca="1">Data!G86</f>
        <v>CM</v>
      </c>
      <c r="C41" s="12">
        <f ca="1">Data!I86</f>
        <v>814.40000000000009</v>
      </c>
    </row>
    <row r="42" spans="2:3" x14ac:dyDescent="0.25">
      <c r="B42" s="13" t="str">
        <f ca="1">Data!G87</f>
        <v>M</v>
      </c>
      <c r="C42" s="12">
        <f ca="1">Data!I87</f>
        <v>806</v>
      </c>
    </row>
    <row r="43" spans="2:3" x14ac:dyDescent="0.25">
      <c r="B43" s="13" t="str">
        <f ca="1">Data!G79</f>
        <v>SS</v>
      </c>
      <c r="C43" s="12">
        <f ca="1">Data!I79</f>
        <v>797.2</v>
      </c>
    </row>
    <row r="44" spans="2:3" x14ac:dyDescent="0.25">
      <c r="B44" s="13" t="str">
        <f ca="1">Data!G31</f>
        <v>TA</v>
      </c>
      <c r="C44" s="12">
        <f ca="1">Data!I31</f>
        <v>790.8</v>
      </c>
    </row>
    <row r="45" spans="2:3" x14ac:dyDescent="0.25">
      <c r="B45" s="13" t="str">
        <f ca="1">Data!G60</f>
        <v>KT</v>
      </c>
      <c r="C45" s="12">
        <f ca="1">Data!I60</f>
        <v>755.6</v>
      </c>
    </row>
    <row r="46" spans="2:3" x14ac:dyDescent="0.25">
      <c r="B46" s="13" t="str">
        <f ca="1">Data!G117</f>
        <v>W</v>
      </c>
      <c r="C46" s="12">
        <f ca="1">Data!I117</f>
        <v>734.8</v>
      </c>
    </row>
    <row r="47" spans="2:3" x14ac:dyDescent="0.25">
      <c r="B47" s="13" t="str">
        <f ca="1">Data!G112</f>
        <v>CW</v>
      </c>
      <c r="C47" s="12">
        <f ca="1">Data!I112</f>
        <v>732</v>
      </c>
    </row>
    <row r="48" spans="2:3" x14ac:dyDescent="0.25">
      <c r="B48" s="13" t="str">
        <f ca="1">Data!G64</f>
        <v>ME</v>
      </c>
      <c r="C48" s="12">
        <f ca="1">Data!I64</f>
        <v>693.2</v>
      </c>
    </row>
    <row r="49" spans="2:3" x14ac:dyDescent="0.25">
      <c r="B49" s="13" t="str">
        <f ca="1">Data!G68</f>
        <v>TW</v>
      </c>
      <c r="C49" s="12">
        <f ca="1">Data!I68</f>
        <v>685.2</v>
      </c>
    </row>
    <row r="50" spans="2:3" x14ac:dyDescent="0.25">
      <c r="B50" s="13" t="str">
        <f ca="1">Data!G62</f>
        <v>CH</v>
      </c>
      <c r="C50" s="12">
        <f ca="1">Data!I62</f>
        <v>668.40000000000009</v>
      </c>
    </row>
    <row r="51" spans="2:3" x14ac:dyDescent="0.25">
      <c r="B51" s="13" t="str">
        <f ca="1">Data!G41</f>
        <v>LA</v>
      </c>
      <c r="C51" s="12">
        <f ca="1">Data!I41</f>
        <v>650.79999999999995</v>
      </c>
    </row>
    <row r="52" spans="2:3" x14ac:dyDescent="0.25">
      <c r="B52" s="13" t="str">
        <f ca="1">Data!G69</f>
        <v>NR</v>
      </c>
      <c r="C52" s="12">
        <f ca="1">Data!I69</f>
        <v>618.4</v>
      </c>
    </row>
    <row r="53" spans="2:3" x14ac:dyDescent="0.25">
      <c r="B53" s="13" t="str">
        <f ca="1">Data!G94</f>
        <v>TS</v>
      </c>
      <c r="C53" s="12">
        <f ca="1">Data!I94</f>
        <v>614</v>
      </c>
    </row>
    <row r="54" spans="2:3" x14ac:dyDescent="0.25">
      <c r="B54" s="13" t="str">
        <f ca="1">Data!G56</f>
        <v>SW</v>
      </c>
      <c r="C54" s="12">
        <f ca="1">Data!I56</f>
        <v>606.40000000000009</v>
      </c>
    </row>
    <row r="55" spans="2:3" x14ac:dyDescent="0.25">
      <c r="B55" s="13" t="str">
        <f ca="1">Data!G114</f>
        <v>PO</v>
      </c>
      <c r="C55" s="12">
        <f ca="1">Data!I114</f>
        <v>606</v>
      </c>
    </row>
    <row r="56" spans="2:3" x14ac:dyDescent="0.25">
      <c r="B56" s="13" t="str">
        <f ca="1">Data!G55</f>
        <v>WA</v>
      </c>
      <c r="C56" s="12">
        <f ca="1">Data!I55</f>
        <v>601.6</v>
      </c>
    </row>
    <row r="57" spans="2:3" x14ac:dyDescent="0.25">
      <c r="B57" s="13" t="str">
        <f ca="1">Data!G58</f>
        <v>GU</v>
      </c>
      <c r="C57" s="12">
        <f ca="1">Data!I58</f>
        <v>596</v>
      </c>
    </row>
    <row r="58" spans="2:3" x14ac:dyDescent="0.25">
      <c r="B58" s="13" t="str">
        <f ca="1">Data!G103</f>
        <v>HX</v>
      </c>
      <c r="C58" s="12">
        <f ca="1">Data!I103</f>
        <v>570</v>
      </c>
    </row>
    <row r="59" spans="2:3" x14ac:dyDescent="0.25">
      <c r="B59" s="13" t="str">
        <f ca="1">Data!G47</f>
        <v>DH</v>
      </c>
      <c r="C59" s="12">
        <f ca="1">Data!I47</f>
        <v>543.59999999999991</v>
      </c>
    </row>
    <row r="60" spans="2:3" x14ac:dyDescent="0.25">
      <c r="B60" s="13" t="str">
        <f ca="1">Data!G57</f>
        <v>SL</v>
      </c>
      <c r="C60" s="12">
        <f ca="1">Data!I57</f>
        <v>536.4</v>
      </c>
    </row>
    <row r="61" spans="2:3" x14ac:dyDescent="0.25">
      <c r="B61" s="13" t="str">
        <f ca="1">Data!G83</f>
        <v>DL</v>
      </c>
      <c r="C61" s="12">
        <f ca="1">Data!I83</f>
        <v>530.79999999999995</v>
      </c>
    </row>
    <row r="62" spans="2:3" x14ac:dyDescent="0.25">
      <c r="B62" s="13" t="str">
        <f ca="1">Data!G43</f>
        <v>BD</v>
      </c>
      <c r="C62" s="12">
        <f ca="1">Data!I43</f>
        <v>530.40000000000009</v>
      </c>
    </row>
    <row r="63" spans="2:3" x14ac:dyDescent="0.25">
      <c r="B63" s="13" t="str">
        <f ca="1">Data!G28</f>
        <v>SP</v>
      </c>
      <c r="C63" s="12">
        <f ca="1">Data!I28</f>
        <v>516</v>
      </c>
    </row>
    <row r="64" spans="2:3" x14ac:dyDescent="0.25">
      <c r="B64" s="13" t="str">
        <f ca="1">Data!G12</f>
        <v>CB</v>
      </c>
      <c r="C64" s="12">
        <f ca="1">Data!I12</f>
        <v>506.8</v>
      </c>
    </row>
    <row r="65" spans="2:3" x14ac:dyDescent="0.25">
      <c r="B65" s="13" t="str">
        <f ca="1">Data!G118</f>
        <v>EX</v>
      </c>
      <c r="C65" s="12">
        <f ca="1">Data!I118</f>
        <v>506.8</v>
      </c>
    </row>
    <row r="66" spans="2:3" x14ac:dyDescent="0.25">
      <c r="B66" s="13" t="str">
        <f ca="1">Data!G96</f>
        <v>RM</v>
      </c>
      <c r="C66" s="12">
        <f ca="1">Data!I96</f>
        <v>498.8</v>
      </c>
    </row>
    <row r="67" spans="2:3" x14ac:dyDescent="0.25">
      <c r="B67" s="13" t="str">
        <f ca="1">Data!G44</f>
        <v>PR</v>
      </c>
      <c r="C67" s="12">
        <f ca="1">Data!I44</f>
        <v>495.55</v>
      </c>
    </row>
    <row r="68" spans="2:3" x14ac:dyDescent="0.25">
      <c r="B68" s="13" t="str">
        <f ca="1">Data!G84</f>
        <v>BL</v>
      </c>
      <c r="C68" s="12">
        <f ca="1">Data!I84</f>
        <v>494</v>
      </c>
    </row>
    <row r="69" spans="2:3" x14ac:dyDescent="0.25">
      <c r="B69" s="13" t="str">
        <f ca="1">Data!G88</f>
        <v>DA</v>
      </c>
      <c r="C69" s="12">
        <f ca="1">Data!I88</f>
        <v>479.2</v>
      </c>
    </row>
    <row r="70" spans="2:3" x14ac:dyDescent="0.25">
      <c r="B70" s="13" t="str">
        <f ca="1">Data!G45</f>
        <v>WS</v>
      </c>
      <c r="C70" s="12">
        <f ca="1">Data!I45</f>
        <v>474.4</v>
      </c>
    </row>
    <row r="71" spans="2:3" x14ac:dyDescent="0.25">
      <c r="B71" s="13" t="str">
        <f ca="1">Data!G40</f>
        <v>UB</v>
      </c>
      <c r="C71" s="12">
        <f ca="1">Data!I40</f>
        <v>442.4</v>
      </c>
    </row>
    <row r="72" spans="2:3" x14ac:dyDescent="0.25">
      <c r="B72" s="13" t="str">
        <f ca="1">Data!G53</f>
        <v>CA</v>
      </c>
      <c r="C72" s="12">
        <f ca="1">Data!I53</f>
        <v>439.2</v>
      </c>
    </row>
    <row r="73" spans="2:3" x14ac:dyDescent="0.25">
      <c r="B73" s="13" t="str">
        <f ca="1">Data!G110</f>
        <v>WN</v>
      </c>
      <c r="C73" s="12">
        <f ca="1">Data!I110</f>
        <v>428.79999999999995</v>
      </c>
    </row>
    <row r="74" spans="2:3" x14ac:dyDescent="0.25">
      <c r="B74" s="13" t="str">
        <f ca="1">Data!G80</f>
        <v>AL</v>
      </c>
      <c r="C74" s="12">
        <f ca="1">Data!I80</f>
        <v>424.34999999999997</v>
      </c>
    </row>
    <row r="75" spans="2:3" x14ac:dyDescent="0.25">
      <c r="B75" s="13" t="str">
        <f ca="1">Data!G97</f>
        <v>TF</v>
      </c>
      <c r="C75" s="12">
        <f ca="1">Data!I97</f>
        <v>407.99999999999994</v>
      </c>
    </row>
    <row r="76" spans="2:3" x14ac:dyDescent="0.25">
      <c r="B76" s="13" t="str">
        <f ca="1">Data!G33</f>
        <v>SG</v>
      </c>
      <c r="C76" s="12">
        <f ca="1">Data!I33</f>
        <v>405.6</v>
      </c>
    </row>
    <row r="77" spans="2:3" x14ac:dyDescent="0.25">
      <c r="B77" s="13" t="str">
        <f ca="1">Data!G109</f>
        <v>PL</v>
      </c>
      <c r="C77" s="12">
        <f ca="1">Data!I109</f>
        <v>402.4</v>
      </c>
    </row>
    <row r="78" spans="2:3" x14ac:dyDescent="0.25">
      <c r="B78" s="13" t="str">
        <f ca="1">Data!G15</f>
        <v>IP</v>
      </c>
      <c r="C78" s="12">
        <f ca="1">Data!I15</f>
        <v>402</v>
      </c>
    </row>
    <row r="79" spans="2:3" x14ac:dyDescent="0.25">
      <c r="B79" s="13" t="str">
        <f ca="1">Data!G105</f>
        <v>TR</v>
      </c>
      <c r="C79" s="12">
        <f ca="1">Data!I105</f>
        <v>401.6</v>
      </c>
    </row>
    <row r="80" spans="2:3" x14ac:dyDescent="0.25">
      <c r="B80" s="13" t="str">
        <f ca="1">Data!G76</f>
        <v>HD</v>
      </c>
      <c r="C80" s="12">
        <f ca="1">Data!I76</f>
        <v>380.4</v>
      </c>
    </row>
    <row r="81" spans="2:3" x14ac:dyDescent="0.25">
      <c r="B81" s="13" t="str">
        <f ca="1">Data!G120</f>
        <v>IG</v>
      </c>
      <c r="C81" s="12">
        <f ca="1">Data!I120</f>
        <v>358.45999999999992</v>
      </c>
    </row>
    <row r="82" spans="2:3" x14ac:dyDescent="0.25">
      <c r="B82" s="13" t="str">
        <f ca="1">Data!G49</f>
        <v>LN</v>
      </c>
      <c r="C82" s="12">
        <f ca="1">Data!I49</f>
        <v>354.8</v>
      </c>
    </row>
    <row r="83" spans="2:3" x14ac:dyDescent="0.25">
      <c r="B83" s="13" t="str">
        <f ca="1">Data!G93</f>
        <v>WD</v>
      </c>
      <c r="C83" s="12">
        <f ca="1">Data!I93</f>
        <v>349.2</v>
      </c>
    </row>
    <row r="84" spans="2:3" x14ac:dyDescent="0.25">
      <c r="B84" s="13" t="str">
        <f ca="1">Data!G77</f>
        <v>CR</v>
      </c>
      <c r="C84" s="12">
        <f ca="1">Data!I77</f>
        <v>338.4</v>
      </c>
    </row>
    <row r="85" spans="2:3" x14ac:dyDescent="0.25">
      <c r="B85" s="13" t="str">
        <f ca="1">Data!G91</f>
        <v>HG</v>
      </c>
      <c r="C85" s="12">
        <f ca="1">Data!I91</f>
        <v>335.15</v>
      </c>
    </row>
    <row r="86" spans="2:3" x14ac:dyDescent="0.25">
      <c r="B86" s="13" t="str">
        <f ca="1">Data!G111</f>
        <v>DT</v>
      </c>
      <c r="C86" s="12">
        <f ca="1">Data!I111</f>
        <v>327.99999999999994</v>
      </c>
    </row>
    <row r="87" spans="2:3" x14ac:dyDescent="0.25">
      <c r="B87" s="13" t="str">
        <f ca="1">Data!G42</f>
        <v>SR</v>
      </c>
      <c r="C87" s="12">
        <f ca="1">Data!I42</f>
        <v>291.20000000000005</v>
      </c>
    </row>
    <row r="88" spans="2:3" x14ac:dyDescent="0.25">
      <c r="B88" s="13" t="str">
        <f ca="1">Data!G98</f>
        <v>WR</v>
      </c>
      <c r="C88" s="12">
        <f ca="1">Data!I98</f>
        <v>284.39999999999998</v>
      </c>
    </row>
    <row r="89" spans="2:3" x14ac:dyDescent="0.25">
      <c r="B89" s="13" t="str">
        <f ca="1">Data!G119</f>
        <v>SM</v>
      </c>
      <c r="C89" s="12">
        <f ca="1">Data!I119</f>
        <v>264.79999999999995</v>
      </c>
    </row>
    <row r="90" spans="2:3" x14ac:dyDescent="0.25">
      <c r="B90" s="13" t="str">
        <f ca="1">Data!G59</f>
        <v>BR</v>
      </c>
      <c r="C90" s="12">
        <f ca="1">Data!I59</f>
        <v>260</v>
      </c>
    </row>
    <row r="91" spans="2:3" x14ac:dyDescent="0.25">
      <c r="B91" s="13" t="str">
        <f ca="1">Data!G20</f>
        <v>HA</v>
      </c>
      <c r="C91" s="12">
        <f ca="1">Data!I20</f>
        <v>224.8</v>
      </c>
    </row>
    <row r="92" spans="2:3" x14ac:dyDescent="0.25">
      <c r="B92" s="13" t="str">
        <f ca="1">Data!G23</f>
        <v>NW</v>
      </c>
      <c r="C92" s="12">
        <f ca="1">Data!I23</f>
        <v>205.2</v>
      </c>
    </row>
    <row r="93" spans="2:3" x14ac:dyDescent="0.25">
      <c r="B93" s="13" t="str">
        <f ca="1">Data!G113</f>
        <v>LU</v>
      </c>
      <c r="C93" s="12">
        <f ca="1">Data!I113</f>
        <v>202.8</v>
      </c>
    </row>
    <row r="94" spans="2:3" x14ac:dyDescent="0.25">
      <c r="B94" s="13" t="str">
        <f ca="1">Data!G82</f>
        <v>EN</v>
      </c>
      <c r="C94" s="12">
        <f ca="1">Data!I82</f>
        <v>155.19999999999999</v>
      </c>
    </row>
    <row r="95" spans="2:3" x14ac:dyDescent="0.25">
      <c r="B95" s="13" t="str">
        <f ca="1">Data!G115</f>
        <v>BB</v>
      </c>
      <c r="C95" s="12">
        <f ca="1">Data!I115</f>
        <v>155.19999999999999</v>
      </c>
    </row>
    <row r="96" spans="2:3" x14ac:dyDescent="0.25">
      <c r="B96" s="13" t="str">
        <f ca="1">Data!G61</f>
        <v>OL</v>
      </c>
      <c r="C96" s="12">
        <f ca="1">Data!I61</f>
        <v>116.8</v>
      </c>
    </row>
    <row r="97" spans="2:3" x14ac:dyDescent="0.25">
      <c r="B97" s="13" t="str">
        <f ca="1">Data!G5</f>
        <v>EC</v>
      </c>
      <c r="C97" s="12">
        <f ca="1">Data!I5</f>
        <v>93.199999999999989</v>
      </c>
    </row>
    <row r="98" spans="2:3" x14ac:dyDescent="0.25">
      <c r="B98" s="13" t="str">
        <f ca="1">Data!G102</f>
        <v>TQ</v>
      </c>
      <c r="C98" s="12">
        <f ca="1">Data!I102</f>
        <v>93.199999999999989</v>
      </c>
    </row>
    <row r="99" spans="2:3" x14ac:dyDescent="0.25">
      <c r="B99" s="13" t="str">
        <f ca="1">Data!G106</f>
        <v>HR</v>
      </c>
      <c r="C99" s="12">
        <f ca="1">Data!I106</f>
        <v>76.8</v>
      </c>
    </row>
    <row r="100" spans="2:3" x14ac:dyDescent="0.25">
      <c r="B100" s="13" t="str">
        <f ca="1">Data!G107</f>
        <v>FY</v>
      </c>
      <c r="C100" s="12">
        <f ca="1">Data!I107</f>
        <v>0</v>
      </c>
    </row>
    <row r="124" spans="2:4" ht="15.75" x14ac:dyDescent="0.25">
      <c r="B124" s="6"/>
      <c r="C124" s="7"/>
      <c r="D124" s="7"/>
    </row>
    <row r="125" spans="2:4" x14ac:dyDescent="0.25">
      <c r="B125" s="1"/>
      <c r="C125" s="3"/>
      <c r="D125" s="3"/>
    </row>
    <row r="126" spans="2:4" x14ac:dyDescent="0.25">
      <c r="B126" s="1"/>
      <c r="C126" s="3"/>
      <c r="D126" s="3"/>
    </row>
    <row r="127" spans="2:4" x14ac:dyDescent="0.25">
      <c r="B127" s="1"/>
      <c r="C127" s="3"/>
      <c r="D127" s="3"/>
    </row>
    <row r="128" spans="2:4" x14ac:dyDescent="0.25">
      <c r="B128" s="1"/>
      <c r="C128" s="3"/>
      <c r="D128" s="3"/>
    </row>
    <row r="129" spans="2:4" x14ac:dyDescent="0.25">
      <c r="B129" s="1"/>
      <c r="C129" s="3"/>
      <c r="D129" s="3"/>
    </row>
    <row r="130" spans="2:4" x14ac:dyDescent="0.25">
      <c r="B130" s="1"/>
      <c r="C130" s="3"/>
      <c r="D130" s="3"/>
    </row>
    <row r="131" spans="2:4" x14ac:dyDescent="0.25">
      <c r="B131" s="1"/>
      <c r="C131" s="3"/>
      <c r="D131" s="3"/>
    </row>
    <row r="132" spans="2:4" x14ac:dyDescent="0.25">
      <c r="B132" s="1"/>
      <c r="C132" s="3"/>
      <c r="D132" s="3"/>
    </row>
    <row r="133" spans="2:4" x14ac:dyDescent="0.25">
      <c r="B133" s="1"/>
      <c r="C133" s="3"/>
      <c r="D133" s="3"/>
    </row>
    <row r="134" spans="2:4" x14ac:dyDescent="0.25">
      <c r="B134" s="1"/>
      <c r="C134" s="3"/>
      <c r="D134" s="3"/>
    </row>
    <row r="135" spans="2:4" x14ac:dyDescent="0.25">
      <c r="B135" s="1"/>
      <c r="C135" s="3"/>
      <c r="D135" s="3"/>
    </row>
    <row r="136" spans="2:4" x14ac:dyDescent="0.25">
      <c r="B136" s="1"/>
      <c r="C136" s="3"/>
      <c r="D136" s="3"/>
    </row>
    <row r="137" spans="2:4" x14ac:dyDescent="0.25">
      <c r="B137" s="1"/>
      <c r="C137" s="3"/>
      <c r="D137" s="3"/>
    </row>
    <row r="138" spans="2:4" x14ac:dyDescent="0.25">
      <c r="B138" s="1"/>
      <c r="C138" s="3"/>
      <c r="D138" s="3"/>
    </row>
    <row r="139" spans="2:4" x14ac:dyDescent="0.25">
      <c r="B139" s="1"/>
      <c r="C139" s="3"/>
      <c r="D139" s="3"/>
    </row>
    <row r="140" spans="2:4" x14ac:dyDescent="0.25">
      <c r="B140" s="1"/>
      <c r="C140" s="3"/>
      <c r="D140" s="3"/>
    </row>
    <row r="141" spans="2:4" x14ac:dyDescent="0.25">
      <c r="B141" s="1"/>
      <c r="C141" s="3"/>
      <c r="D141" s="3"/>
    </row>
    <row r="142" spans="2:4" x14ac:dyDescent="0.25">
      <c r="B142" s="1"/>
      <c r="C142" s="3"/>
      <c r="D142" s="3"/>
    </row>
    <row r="143" spans="2:4" x14ac:dyDescent="0.25">
      <c r="B143" s="1"/>
      <c r="C143" s="3"/>
      <c r="D143" s="3"/>
    </row>
    <row r="144" spans="2:4" x14ac:dyDescent="0.25">
      <c r="B144" s="1"/>
      <c r="C144" s="3"/>
      <c r="D144" s="3"/>
    </row>
    <row r="145" spans="2:4" x14ac:dyDescent="0.25">
      <c r="B145" s="1"/>
      <c r="C145" s="3"/>
      <c r="D145" s="3"/>
    </row>
    <row r="146" spans="2:4" x14ac:dyDescent="0.25">
      <c r="B146" s="1"/>
      <c r="C146" s="3"/>
      <c r="D146" s="3"/>
    </row>
    <row r="147" spans="2:4" x14ac:dyDescent="0.25">
      <c r="B147" s="1"/>
      <c r="C147" s="3"/>
      <c r="D147" s="3"/>
    </row>
    <row r="148" spans="2:4" x14ac:dyDescent="0.25">
      <c r="B148" s="1"/>
      <c r="C148" s="3"/>
      <c r="D148" s="3"/>
    </row>
    <row r="149" spans="2:4" x14ac:dyDescent="0.25">
      <c r="B149" s="1"/>
      <c r="C149" s="3"/>
      <c r="D149" s="3"/>
    </row>
    <row r="150" spans="2:4" x14ac:dyDescent="0.25">
      <c r="B150" s="1"/>
      <c r="C150" s="3"/>
      <c r="D150" s="3"/>
    </row>
    <row r="151" spans="2:4" x14ac:dyDescent="0.25">
      <c r="B151" s="1"/>
      <c r="C151" s="3"/>
      <c r="D151" s="3"/>
    </row>
    <row r="152" spans="2:4" x14ac:dyDescent="0.25">
      <c r="B152" s="1"/>
      <c r="C152" s="3"/>
      <c r="D152" s="3"/>
    </row>
    <row r="153" spans="2:4" x14ac:dyDescent="0.25">
      <c r="B153" s="1"/>
      <c r="C153" s="3"/>
      <c r="D153" s="3"/>
    </row>
    <row r="154" spans="2:4" x14ac:dyDescent="0.25">
      <c r="B154" s="1"/>
      <c r="C154" s="3"/>
      <c r="D154" s="3"/>
    </row>
    <row r="155" spans="2:4" x14ac:dyDescent="0.25">
      <c r="B155" s="1"/>
      <c r="C155" s="3"/>
      <c r="D155" s="3"/>
    </row>
    <row r="156" spans="2:4" x14ac:dyDescent="0.25">
      <c r="B156" s="1"/>
      <c r="C156" s="3"/>
      <c r="D156" s="3"/>
    </row>
    <row r="157" spans="2:4" x14ac:dyDescent="0.25">
      <c r="B157" s="1"/>
      <c r="C157" s="3"/>
      <c r="D157" s="3"/>
    </row>
    <row r="158" spans="2:4" x14ac:dyDescent="0.25">
      <c r="B158" s="1"/>
      <c r="C158" s="3"/>
      <c r="D158" s="3"/>
    </row>
    <row r="159" spans="2:4" x14ac:dyDescent="0.25">
      <c r="B159" s="1"/>
      <c r="C159" s="3"/>
      <c r="D159" s="3"/>
    </row>
    <row r="160" spans="2:4" x14ac:dyDescent="0.25">
      <c r="B160" s="1"/>
      <c r="C160" s="3"/>
      <c r="D160" s="3"/>
    </row>
    <row r="161" spans="2:4" x14ac:dyDescent="0.25">
      <c r="B161" s="1"/>
      <c r="C161" s="3"/>
      <c r="D161" s="3"/>
    </row>
    <row r="162" spans="2:4" x14ac:dyDescent="0.25">
      <c r="B162" s="1"/>
      <c r="C162" s="3"/>
      <c r="D162" s="3"/>
    </row>
    <row r="163" spans="2:4" x14ac:dyDescent="0.25">
      <c r="B163" s="1"/>
      <c r="C163" s="3"/>
      <c r="D163" s="3"/>
    </row>
    <row r="164" spans="2:4" x14ac:dyDescent="0.25">
      <c r="B164" s="1"/>
      <c r="C164" s="3"/>
      <c r="D164" s="3"/>
    </row>
    <row r="165" spans="2:4" x14ac:dyDescent="0.25">
      <c r="B165" s="1"/>
      <c r="C165" s="3"/>
      <c r="D165" s="3"/>
    </row>
    <row r="166" spans="2:4" x14ac:dyDescent="0.25">
      <c r="B166" s="1"/>
      <c r="C166" s="3"/>
      <c r="D166" s="3"/>
    </row>
    <row r="167" spans="2:4" x14ac:dyDescent="0.25">
      <c r="B167" s="1"/>
      <c r="C167" s="3"/>
      <c r="D167" s="3"/>
    </row>
    <row r="168" spans="2:4" x14ac:dyDescent="0.25">
      <c r="B168" s="1"/>
      <c r="C168" s="3"/>
      <c r="D168" s="3"/>
    </row>
    <row r="169" spans="2:4" x14ac:dyDescent="0.25">
      <c r="B169" s="1"/>
      <c r="C169" s="3"/>
      <c r="D169" s="3"/>
    </row>
    <row r="170" spans="2:4" x14ac:dyDescent="0.25">
      <c r="B170" s="1"/>
      <c r="C170" s="3"/>
      <c r="D170" s="3"/>
    </row>
    <row r="171" spans="2:4" x14ac:dyDescent="0.25">
      <c r="B171" s="1"/>
      <c r="C171" s="3"/>
      <c r="D171" s="3"/>
    </row>
    <row r="172" spans="2:4" x14ac:dyDescent="0.25">
      <c r="B172" s="1"/>
      <c r="C172" s="3"/>
      <c r="D172" s="3"/>
    </row>
    <row r="173" spans="2:4" x14ac:dyDescent="0.25">
      <c r="B173" s="1"/>
      <c r="C173" s="3"/>
      <c r="D173" s="3"/>
    </row>
    <row r="174" spans="2:4" x14ac:dyDescent="0.25">
      <c r="B174" s="1"/>
      <c r="C174" s="3"/>
      <c r="D174" s="3"/>
    </row>
    <row r="175" spans="2:4" x14ac:dyDescent="0.25">
      <c r="B175" s="1"/>
      <c r="C175" s="3"/>
      <c r="D175" s="3"/>
    </row>
    <row r="176" spans="2:4" x14ac:dyDescent="0.25">
      <c r="B176" s="1"/>
      <c r="C176" s="3"/>
      <c r="D176" s="3"/>
    </row>
    <row r="177" spans="2:4" x14ac:dyDescent="0.25">
      <c r="B177" s="1"/>
      <c r="C177" s="3"/>
      <c r="D177" s="3"/>
    </row>
    <row r="178" spans="2:4" x14ac:dyDescent="0.25">
      <c r="B178" s="1"/>
      <c r="C178" s="3"/>
      <c r="D178" s="3"/>
    </row>
    <row r="179" spans="2:4" x14ac:dyDescent="0.25">
      <c r="B179" s="1"/>
      <c r="C179" s="3"/>
      <c r="D179" s="3"/>
    </row>
    <row r="180" spans="2:4" x14ac:dyDescent="0.25">
      <c r="B180" s="1"/>
      <c r="C180" s="3"/>
      <c r="D180" s="3"/>
    </row>
    <row r="181" spans="2:4" x14ac:dyDescent="0.25">
      <c r="B181" s="1"/>
      <c r="C181" s="3"/>
      <c r="D181" s="3"/>
    </row>
    <row r="182" spans="2:4" x14ac:dyDescent="0.25">
      <c r="B182" s="1"/>
      <c r="C182" s="3"/>
      <c r="D182" s="3"/>
    </row>
    <row r="183" spans="2:4" x14ac:dyDescent="0.25">
      <c r="B183" s="1"/>
      <c r="C183" s="3"/>
      <c r="D183" s="3"/>
    </row>
    <row r="184" spans="2:4" x14ac:dyDescent="0.25">
      <c r="B184" s="1"/>
      <c r="C184" s="3"/>
      <c r="D184" s="3"/>
    </row>
    <row r="185" spans="2:4" x14ac:dyDescent="0.25">
      <c r="B185" s="1"/>
      <c r="C185" s="3"/>
      <c r="D185" s="3"/>
    </row>
    <row r="186" spans="2:4" x14ac:dyDescent="0.25">
      <c r="B186" s="1"/>
      <c r="C186" s="3"/>
      <c r="D186" s="3"/>
    </row>
    <row r="187" spans="2:4" x14ac:dyDescent="0.25">
      <c r="B187" s="1"/>
      <c r="C187" s="3"/>
      <c r="D187" s="3"/>
    </row>
    <row r="188" spans="2:4" x14ac:dyDescent="0.25">
      <c r="B188" s="1"/>
      <c r="C188" s="3"/>
      <c r="D188" s="3"/>
    </row>
    <row r="189" spans="2:4" x14ac:dyDescent="0.25">
      <c r="B189" s="1"/>
      <c r="C189" s="3"/>
      <c r="D189" s="3"/>
    </row>
    <row r="190" spans="2:4" x14ac:dyDescent="0.25">
      <c r="B190" s="1"/>
      <c r="C190" s="3"/>
      <c r="D190" s="3"/>
    </row>
    <row r="191" spans="2:4" x14ac:dyDescent="0.25">
      <c r="B191" s="1"/>
      <c r="C191" s="3"/>
      <c r="D191" s="3"/>
    </row>
    <row r="192" spans="2:4" x14ac:dyDescent="0.25">
      <c r="B192" s="1"/>
      <c r="C192" s="3"/>
      <c r="D192" s="3"/>
    </row>
    <row r="193" spans="2:4" x14ac:dyDescent="0.25">
      <c r="B193" s="1"/>
      <c r="C193" s="3"/>
      <c r="D193" s="3"/>
    </row>
    <row r="194" spans="2:4" x14ac:dyDescent="0.25">
      <c r="B194" s="1"/>
      <c r="C194" s="3"/>
      <c r="D194" s="3"/>
    </row>
    <row r="195" spans="2:4" x14ac:dyDescent="0.25">
      <c r="B195" s="1"/>
      <c r="C195" s="3"/>
      <c r="D195" s="3"/>
    </row>
    <row r="196" spans="2:4" x14ac:dyDescent="0.25">
      <c r="B196" s="1"/>
      <c r="C196" s="3"/>
      <c r="D196" s="3"/>
    </row>
    <row r="197" spans="2:4" x14ac:dyDescent="0.25">
      <c r="B197" s="1"/>
      <c r="C197" s="3"/>
      <c r="D197" s="3"/>
    </row>
    <row r="198" spans="2:4" x14ac:dyDescent="0.25">
      <c r="B198" s="1"/>
      <c r="C198" s="3"/>
      <c r="D198" s="3"/>
    </row>
    <row r="199" spans="2:4" x14ac:dyDescent="0.25">
      <c r="B199" s="1"/>
      <c r="C199" s="3"/>
      <c r="D199" s="3"/>
    </row>
    <row r="200" spans="2:4" x14ac:dyDescent="0.25">
      <c r="B200" s="1"/>
      <c r="C200" s="3"/>
      <c r="D200" s="3"/>
    </row>
    <row r="201" spans="2:4" x14ac:dyDescent="0.25">
      <c r="B201" s="1"/>
      <c r="C201" s="3"/>
      <c r="D201" s="3"/>
    </row>
    <row r="202" spans="2:4" x14ac:dyDescent="0.25">
      <c r="B202" s="1"/>
      <c r="C202" s="3"/>
      <c r="D202" s="3"/>
    </row>
    <row r="203" spans="2:4" x14ac:dyDescent="0.25">
      <c r="B203" s="1"/>
      <c r="C203" s="3"/>
      <c r="D203" s="3"/>
    </row>
    <row r="204" spans="2:4" x14ac:dyDescent="0.25">
      <c r="B204" s="1"/>
      <c r="C204" s="3"/>
      <c r="D204" s="3"/>
    </row>
    <row r="205" spans="2:4" x14ac:dyDescent="0.25">
      <c r="B205" s="1"/>
      <c r="C205" s="3"/>
      <c r="D205" s="3"/>
    </row>
    <row r="206" spans="2:4" x14ac:dyDescent="0.25">
      <c r="B206" s="1"/>
      <c r="C206" s="3"/>
      <c r="D206" s="3"/>
    </row>
    <row r="207" spans="2:4" x14ac:dyDescent="0.25">
      <c r="B207" s="1"/>
      <c r="C207" s="3"/>
      <c r="D207" s="3"/>
    </row>
    <row r="208" spans="2:4" x14ac:dyDescent="0.25">
      <c r="B208" s="1"/>
      <c r="C208" s="3"/>
      <c r="D208" s="3"/>
    </row>
    <row r="209" spans="2:4" x14ac:dyDescent="0.25">
      <c r="B209" s="1"/>
      <c r="C209" s="3"/>
      <c r="D209" s="3"/>
    </row>
    <row r="210" spans="2:4" x14ac:dyDescent="0.25">
      <c r="B210" s="1"/>
      <c r="C210" s="3"/>
      <c r="D210" s="3"/>
    </row>
    <row r="211" spans="2:4" x14ac:dyDescent="0.25">
      <c r="B211" s="1"/>
      <c r="C211" s="3"/>
      <c r="D211" s="3"/>
    </row>
    <row r="212" spans="2:4" x14ac:dyDescent="0.25">
      <c r="B212" s="1"/>
      <c r="C212" s="3"/>
      <c r="D212" s="3"/>
    </row>
    <row r="213" spans="2:4" x14ac:dyDescent="0.25">
      <c r="B213" s="1"/>
      <c r="C213" s="3"/>
      <c r="D213" s="3"/>
    </row>
    <row r="214" spans="2:4" x14ac:dyDescent="0.25">
      <c r="B214" s="1"/>
      <c r="C214" s="3"/>
      <c r="D214" s="3"/>
    </row>
    <row r="215" spans="2:4" x14ac:dyDescent="0.25">
      <c r="B215" s="1"/>
      <c r="C215" s="3"/>
      <c r="D215" s="3"/>
    </row>
    <row r="216" spans="2:4" x14ac:dyDescent="0.25">
      <c r="B216" s="1"/>
      <c r="C216" s="3"/>
      <c r="D216" s="3"/>
    </row>
    <row r="217" spans="2:4" x14ac:dyDescent="0.25">
      <c r="B217" s="1"/>
      <c r="C217" s="3"/>
      <c r="D217" s="3"/>
    </row>
    <row r="218" spans="2:4" x14ac:dyDescent="0.25">
      <c r="B218" s="1"/>
      <c r="C218" s="3"/>
      <c r="D218" s="3"/>
    </row>
    <row r="219" spans="2:4" x14ac:dyDescent="0.25">
      <c r="B219" s="1"/>
      <c r="C219" s="3"/>
      <c r="D219" s="3"/>
    </row>
    <row r="220" spans="2:4" x14ac:dyDescent="0.25">
      <c r="B220" s="1"/>
      <c r="C220" s="3"/>
      <c r="D220" s="3"/>
    </row>
    <row r="221" spans="2:4" x14ac:dyDescent="0.25">
      <c r="B221" s="1"/>
      <c r="C221" s="3"/>
      <c r="D221" s="3"/>
    </row>
    <row r="222" spans="2:4" x14ac:dyDescent="0.25">
      <c r="B222" s="1"/>
      <c r="C222" s="3"/>
      <c r="D222" s="3"/>
    </row>
    <row r="223" spans="2:4" x14ac:dyDescent="0.25">
      <c r="B223" s="1"/>
      <c r="C223" s="3"/>
      <c r="D223" s="3"/>
    </row>
    <row r="224" spans="2:4" x14ac:dyDescent="0.25">
      <c r="B224" s="1"/>
      <c r="C224" s="3"/>
      <c r="D224" s="3"/>
    </row>
    <row r="225" spans="2:4" x14ac:dyDescent="0.25">
      <c r="B225" s="1"/>
      <c r="C225" s="3"/>
      <c r="D225" s="3"/>
    </row>
    <row r="226" spans="2:4" x14ac:dyDescent="0.25">
      <c r="B226" s="1"/>
      <c r="C226" s="3"/>
      <c r="D226" s="3"/>
    </row>
    <row r="227" spans="2:4" x14ac:dyDescent="0.25">
      <c r="B227" s="1"/>
      <c r="C227" s="3"/>
      <c r="D227" s="3"/>
    </row>
    <row r="228" spans="2:4" x14ac:dyDescent="0.25">
      <c r="B228" s="1"/>
      <c r="C228" s="3"/>
      <c r="D228" s="3"/>
    </row>
    <row r="229" spans="2:4" x14ac:dyDescent="0.25">
      <c r="B229" s="1"/>
      <c r="C229" s="3"/>
      <c r="D229" s="3"/>
    </row>
    <row r="230" spans="2:4" x14ac:dyDescent="0.25">
      <c r="B230" s="1"/>
      <c r="C230" s="3"/>
      <c r="D230" s="3"/>
    </row>
    <row r="231" spans="2:4" x14ac:dyDescent="0.25">
      <c r="B231" s="1"/>
      <c r="C231" s="3"/>
      <c r="D231" s="3"/>
    </row>
    <row r="232" spans="2:4" x14ac:dyDescent="0.25">
      <c r="B232" s="1"/>
      <c r="C232" s="3"/>
      <c r="D232" s="3"/>
    </row>
    <row r="233" spans="2:4" x14ac:dyDescent="0.25">
      <c r="B233" s="1"/>
      <c r="C233" s="3"/>
      <c r="D233" s="3"/>
    </row>
    <row r="234" spans="2:4" x14ac:dyDescent="0.25">
      <c r="B234" s="1"/>
      <c r="C234" s="3"/>
      <c r="D234" s="3"/>
    </row>
    <row r="235" spans="2:4" x14ac:dyDescent="0.25">
      <c r="B235" s="1"/>
      <c r="C235" s="3"/>
      <c r="D235" s="3"/>
    </row>
    <row r="236" spans="2:4" x14ac:dyDescent="0.25">
      <c r="B236" s="1"/>
      <c r="C236" s="3"/>
      <c r="D236" s="3"/>
    </row>
    <row r="237" spans="2:4" x14ac:dyDescent="0.25">
      <c r="B237" s="1"/>
      <c r="C237" s="3"/>
      <c r="D237" s="3"/>
    </row>
    <row r="238" spans="2:4" x14ac:dyDescent="0.25">
      <c r="B238" s="1"/>
      <c r="C238" s="3"/>
      <c r="D238" s="3"/>
    </row>
    <row r="239" spans="2:4" x14ac:dyDescent="0.25">
      <c r="B239" s="1"/>
      <c r="C239" s="3"/>
      <c r="D239" s="3"/>
    </row>
    <row r="240" spans="2:4" x14ac:dyDescent="0.25">
      <c r="B240" s="1"/>
      <c r="C240" s="3"/>
      <c r="D240" s="3"/>
    </row>
    <row r="241" spans="2:4" x14ac:dyDescent="0.25">
      <c r="B241" s="1"/>
      <c r="C241" s="3"/>
      <c r="D241" s="3"/>
    </row>
    <row r="242" spans="2:4" x14ac:dyDescent="0.25">
      <c r="B242" s="1"/>
      <c r="C242" s="3"/>
      <c r="D242" s="3"/>
    </row>
    <row r="244" spans="2:4" ht="15.75" x14ac:dyDescent="0.25">
      <c r="B244" s="6"/>
      <c r="C244" s="7"/>
      <c r="D244" s="7"/>
    </row>
    <row r="245" spans="2:4" x14ac:dyDescent="0.25">
      <c r="B245" s="1"/>
      <c r="C245" s="3"/>
      <c r="D245" s="3"/>
    </row>
    <row r="246" spans="2:4" x14ac:dyDescent="0.25">
      <c r="B246" s="1"/>
      <c r="C246" s="3"/>
      <c r="D246" s="3"/>
    </row>
    <row r="247" spans="2:4" x14ac:dyDescent="0.25">
      <c r="B247" s="1"/>
      <c r="C247" s="3"/>
      <c r="D247" s="3"/>
    </row>
    <row r="248" spans="2:4" x14ac:dyDescent="0.25">
      <c r="B248" s="1"/>
      <c r="C248" s="3"/>
      <c r="D248" s="3"/>
    </row>
    <row r="249" spans="2:4" x14ac:dyDescent="0.25">
      <c r="B249" s="1"/>
      <c r="C249" s="3"/>
      <c r="D249" s="3"/>
    </row>
    <row r="250" spans="2:4" x14ac:dyDescent="0.25">
      <c r="B250" s="1"/>
      <c r="C250" s="3"/>
      <c r="D250" s="3"/>
    </row>
    <row r="251" spans="2:4" x14ac:dyDescent="0.25">
      <c r="B251" s="1"/>
      <c r="C251" s="3"/>
      <c r="D251" s="3"/>
    </row>
    <row r="252" spans="2:4" x14ac:dyDescent="0.25">
      <c r="B252" s="1"/>
      <c r="C252" s="3"/>
      <c r="D252" s="3"/>
    </row>
    <row r="253" spans="2:4" x14ac:dyDescent="0.25">
      <c r="B253" s="1"/>
      <c r="C253" s="3"/>
      <c r="D253" s="3"/>
    </row>
    <row r="254" spans="2:4" x14ac:dyDescent="0.25">
      <c r="B254" s="1"/>
      <c r="C254" s="3"/>
      <c r="D254" s="3"/>
    </row>
    <row r="255" spans="2:4" x14ac:dyDescent="0.25">
      <c r="B255" s="1"/>
      <c r="C255" s="3"/>
      <c r="D255" s="3"/>
    </row>
    <row r="256" spans="2:4" x14ac:dyDescent="0.25">
      <c r="B256" s="1"/>
      <c r="C256" s="3"/>
      <c r="D256" s="3"/>
    </row>
    <row r="257" spans="2:4" x14ac:dyDescent="0.25">
      <c r="B257" s="1"/>
      <c r="C257" s="3"/>
      <c r="D257" s="3"/>
    </row>
    <row r="258" spans="2:4" x14ac:dyDescent="0.25">
      <c r="B258" s="1"/>
      <c r="C258" s="3"/>
      <c r="D258" s="3"/>
    </row>
    <row r="259" spans="2:4" x14ac:dyDescent="0.25">
      <c r="B259" s="1"/>
      <c r="C259" s="3"/>
      <c r="D259" s="3"/>
    </row>
    <row r="260" spans="2:4" x14ac:dyDescent="0.25">
      <c r="B260" s="1"/>
      <c r="C260" s="3"/>
      <c r="D260" s="3"/>
    </row>
    <row r="261" spans="2:4" x14ac:dyDescent="0.25">
      <c r="B261" s="1"/>
      <c r="C261" s="3"/>
      <c r="D261" s="3"/>
    </row>
    <row r="262" spans="2:4" x14ac:dyDescent="0.25">
      <c r="B262" s="1"/>
      <c r="C262" s="3"/>
      <c r="D262" s="3"/>
    </row>
    <row r="263" spans="2:4" x14ac:dyDescent="0.25">
      <c r="B263" s="1"/>
      <c r="C263" s="3"/>
      <c r="D263" s="3"/>
    </row>
    <row r="264" spans="2:4" x14ac:dyDescent="0.25">
      <c r="B264" s="1"/>
      <c r="C264" s="3"/>
      <c r="D264" s="3"/>
    </row>
    <row r="265" spans="2:4" x14ac:dyDescent="0.25">
      <c r="B265" s="1"/>
      <c r="C265" s="3"/>
      <c r="D265" s="3"/>
    </row>
    <row r="266" spans="2:4" x14ac:dyDescent="0.25">
      <c r="B266" s="1"/>
      <c r="C266" s="3"/>
      <c r="D266" s="3"/>
    </row>
    <row r="267" spans="2:4" x14ac:dyDescent="0.25">
      <c r="B267" s="1"/>
      <c r="C267" s="3"/>
      <c r="D267" s="3"/>
    </row>
    <row r="268" spans="2:4" x14ac:dyDescent="0.25">
      <c r="B268" s="1"/>
      <c r="C268" s="3"/>
      <c r="D268" s="3"/>
    </row>
    <row r="269" spans="2:4" x14ac:dyDescent="0.25">
      <c r="B269" s="1"/>
      <c r="C269" s="3"/>
      <c r="D269" s="3"/>
    </row>
    <row r="270" spans="2:4" x14ac:dyDescent="0.25">
      <c r="B270" s="1"/>
      <c r="C270" s="3"/>
      <c r="D270" s="3"/>
    </row>
    <row r="271" spans="2:4" x14ac:dyDescent="0.25">
      <c r="B271" s="1"/>
      <c r="C271" s="3"/>
      <c r="D271" s="3"/>
    </row>
    <row r="272" spans="2:4" x14ac:dyDescent="0.25">
      <c r="B272" s="1"/>
      <c r="C272" s="3"/>
      <c r="D272" s="3"/>
    </row>
    <row r="273" spans="2:4" x14ac:dyDescent="0.25">
      <c r="B273" s="1"/>
      <c r="C273" s="3"/>
      <c r="D273" s="3"/>
    </row>
    <row r="274" spans="2:4" x14ac:dyDescent="0.25">
      <c r="B274" s="1"/>
      <c r="C274" s="3"/>
      <c r="D274" s="3"/>
    </row>
    <row r="275" spans="2:4" x14ac:dyDescent="0.25">
      <c r="B275" s="1"/>
      <c r="C275" s="3"/>
      <c r="D275" s="3"/>
    </row>
    <row r="276" spans="2:4" x14ac:dyDescent="0.25">
      <c r="B276" s="1"/>
      <c r="C276" s="3"/>
      <c r="D276" s="3"/>
    </row>
    <row r="277" spans="2:4" x14ac:dyDescent="0.25">
      <c r="B277" s="1"/>
      <c r="C277" s="3"/>
      <c r="D277" s="3"/>
    </row>
    <row r="278" spans="2:4" x14ac:dyDescent="0.25">
      <c r="B278" s="1"/>
      <c r="C278" s="3"/>
      <c r="D278" s="3"/>
    </row>
    <row r="279" spans="2:4" x14ac:dyDescent="0.25">
      <c r="B279" s="1"/>
      <c r="C279" s="3"/>
      <c r="D279" s="3"/>
    </row>
    <row r="280" spans="2:4" x14ac:dyDescent="0.25">
      <c r="B280" s="1"/>
      <c r="C280" s="3"/>
      <c r="D280" s="3"/>
    </row>
    <row r="281" spans="2:4" x14ac:dyDescent="0.25">
      <c r="B281" s="1"/>
      <c r="C281" s="3"/>
      <c r="D281" s="3"/>
    </row>
    <row r="282" spans="2:4" x14ac:dyDescent="0.25">
      <c r="B282" s="1"/>
      <c r="C282" s="3"/>
      <c r="D282" s="3"/>
    </row>
    <row r="283" spans="2:4" x14ac:dyDescent="0.25">
      <c r="B283" s="1"/>
      <c r="C283" s="3"/>
      <c r="D283" s="3"/>
    </row>
    <row r="284" spans="2:4" x14ac:dyDescent="0.25">
      <c r="B284" s="1"/>
      <c r="C284" s="3"/>
      <c r="D284" s="3"/>
    </row>
    <row r="285" spans="2:4" x14ac:dyDescent="0.25">
      <c r="B285" s="1"/>
      <c r="C285" s="3"/>
      <c r="D285" s="3"/>
    </row>
    <row r="286" spans="2:4" x14ac:dyDescent="0.25">
      <c r="B286" s="1"/>
      <c r="C286" s="3"/>
      <c r="D286" s="3"/>
    </row>
    <row r="287" spans="2:4" x14ac:dyDescent="0.25">
      <c r="B287" s="1"/>
      <c r="C287" s="3"/>
      <c r="D287" s="3"/>
    </row>
    <row r="288" spans="2:4" x14ac:dyDescent="0.25">
      <c r="B288" s="1"/>
      <c r="C288" s="3"/>
      <c r="D288" s="3"/>
    </row>
    <row r="289" spans="2:4" x14ac:dyDescent="0.25">
      <c r="B289" s="1"/>
      <c r="C289" s="3"/>
      <c r="D289" s="3"/>
    </row>
    <row r="290" spans="2:4" x14ac:dyDescent="0.25">
      <c r="B290" s="1"/>
      <c r="C290" s="3"/>
      <c r="D290" s="3"/>
    </row>
    <row r="291" spans="2:4" x14ac:dyDescent="0.25">
      <c r="B291" s="1"/>
      <c r="C291" s="3"/>
      <c r="D291" s="3"/>
    </row>
    <row r="292" spans="2:4" x14ac:dyDescent="0.25">
      <c r="B292" s="1"/>
      <c r="C292" s="3"/>
      <c r="D292" s="3"/>
    </row>
    <row r="293" spans="2:4" x14ac:dyDescent="0.25">
      <c r="B293" s="1"/>
      <c r="C293" s="3"/>
      <c r="D293" s="3"/>
    </row>
    <row r="294" spans="2:4" x14ac:dyDescent="0.25">
      <c r="B294" s="1"/>
      <c r="C294" s="3"/>
      <c r="D294" s="3"/>
    </row>
    <row r="295" spans="2:4" x14ac:dyDescent="0.25">
      <c r="B295" s="1"/>
      <c r="C295" s="3"/>
      <c r="D295" s="3"/>
    </row>
    <row r="296" spans="2:4" x14ac:dyDescent="0.25">
      <c r="B296" s="1"/>
      <c r="C296" s="3"/>
      <c r="D296" s="3"/>
    </row>
    <row r="297" spans="2:4" x14ac:dyDescent="0.25">
      <c r="B297" s="1"/>
      <c r="C297" s="3"/>
      <c r="D297" s="3"/>
    </row>
    <row r="298" spans="2:4" x14ac:dyDescent="0.25">
      <c r="B298" s="1"/>
      <c r="C298" s="3"/>
      <c r="D298" s="3"/>
    </row>
    <row r="299" spans="2:4" x14ac:dyDescent="0.25">
      <c r="B299" s="1"/>
      <c r="C299" s="3"/>
      <c r="D299" s="3"/>
    </row>
    <row r="300" spans="2:4" x14ac:dyDescent="0.25">
      <c r="B300" s="1"/>
      <c r="C300" s="3"/>
      <c r="D300" s="3"/>
    </row>
    <row r="301" spans="2:4" x14ac:dyDescent="0.25">
      <c r="B301" s="1"/>
      <c r="C301" s="3"/>
      <c r="D301" s="3"/>
    </row>
    <row r="302" spans="2:4" x14ac:dyDescent="0.25">
      <c r="B302" s="1"/>
      <c r="C302" s="3"/>
      <c r="D302" s="3"/>
    </row>
    <row r="303" spans="2:4" x14ac:dyDescent="0.25">
      <c r="B303" s="1"/>
      <c r="C303" s="3"/>
      <c r="D303" s="3"/>
    </row>
    <row r="304" spans="2:4" x14ac:dyDescent="0.25">
      <c r="B304" s="1"/>
      <c r="C304" s="3"/>
      <c r="D304" s="3"/>
    </row>
    <row r="305" spans="2:4" x14ac:dyDescent="0.25">
      <c r="B305" s="1"/>
      <c r="C305" s="3"/>
      <c r="D305" s="3"/>
    </row>
    <row r="306" spans="2:4" x14ac:dyDescent="0.25">
      <c r="B306" s="1"/>
      <c r="C306" s="3"/>
      <c r="D306" s="3"/>
    </row>
    <row r="307" spans="2:4" x14ac:dyDescent="0.25">
      <c r="B307" s="1"/>
      <c r="C307" s="3"/>
      <c r="D307" s="3"/>
    </row>
    <row r="308" spans="2:4" x14ac:dyDescent="0.25">
      <c r="B308" s="1"/>
      <c r="C308" s="3"/>
      <c r="D308" s="3"/>
    </row>
    <row r="309" spans="2:4" x14ac:dyDescent="0.25">
      <c r="B309" s="1"/>
      <c r="C309" s="3"/>
      <c r="D309" s="3"/>
    </row>
    <row r="310" spans="2:4" x14ac:dyDescent="0.25">
      <c r="B310" s="1"/>
      <c r="C310" s="3"/>
      <c r="D310" s="3"/>
    </row>
    <row r="311" spans="2:4" x14ac:dyDescent="0.25">
      <c r="B311" s="1"/>
      <c r="C311" s="3"/>
      <c r="D311" s="3"/>
    </row>
    <row r="312" spans="2:4" x14ac:dyDescent="0.25">
      <c r="B312" s="1"/>
      <c r="C312" s="3"/>
      <c r="D312" s="3"/>
    </row>
    <row r="313" spans="2:4" x14ac:dyDescent="0.25">
      <c r="B313" s="1"/>
      <c r="C313" s="3"/>
      <c r="D313" s="3"/>
    </row>
    <row r="314" spans="2:4" x14ac:dyDescent="0.25">
      <c r="B314" s="1"/>
      <c r="C314" s="3"/>
      <c r="D314" s="3"/>
    </row>
    <row r="315" spans="2:4" x14ac:dyDescent="0.25">
      <c r="B315" s="1"/>
      <c r="C315" s="3"/>
      <c r="D315" s="3"/>
    </row>
    <row r="316" spans="2:4" x14ac:dyDescent="0.25">
      <c r="B316" s="1"/>
      <c r="C316" s="3"/>
      <c r="D316" s="3"/>
    </row>
    <row r="317" spans="2:4" x14ac:dyDescent="0.25">
      <c r="B317" s="1"/>
      <c r="C317" s="3"/>
      <c r="D317" s="3"/>
    </row>
    <row r="318" spans="2:4" x14ac:dyDescent="0.25">
      <c r="B318" s="1"/>
      <c r="C318" s="3"/>
      <c r="D318" s="3"/>
    </row>
    <row r="319" spans="2:4" x14ac:dyDescent="0.25">
      <c r="B319" s="1"/>
      <c r="C319" s="3"/>
      <c r="D319" s="3"/>
    </row>
    <row r="320" spans="2:4" x14ac:dyDescent="0.25">
      <c r="B320" s="1"/>
      <c r="C320" s="3"/>
      <c r="D320" s="3"/>
    </row>
    <row r="321" spans="2:4" x14ac:dyDescent="0.25">
      <c r="B321" s="1"/>
      <c r="C321" s="3"/>
      <c r="D321" s="3"/>
    </row>
    <row r="322" spans="2:4" x14ac:dyDescent="0.25">
      <c r="B322" s="1"/>
      <c r="C322" s="3"/>
      <c r="D322" s="3"/>
    </row>
    <row r="323" spans="2:4" x14ac:dyDescent="0.25">
      <c r="B323" s="1"/>
      <c r="C323" s="3"/>
      <c r="D323" s="3"/>
    </row>
    <row r="324" spans="2:4" x14ac:dyDescent="0.25">
      <c r="B324" s="1"/>
      <c r="C324" s="3"/>
      <c r="D324" s="3"/>
    </row>
    <row r="325" spans="2:4" x14ac:dyDescent="0.25">
      <c r="B325" s="1"/>
      <c r="C325" s="3"/>
      <c r="D325" s="3"/>
    </row>
    <row r="326" spans="2:4" x14ac:dyDescent="0.25">
      <c r="B326" s="1"/>
      <c r="C326" s="3"/>
      <c r="D326" s="3"/>
    </row>
    <row r="327" spans="2:4" x14ac:dyDescent="0.25">
      <c r="B327" s="1"/>
      <c r="C327" s="3"/>
      <c r="D327" s="3"/>
    </row>
    <row r="328" spans="2:4" x14ac:dyDescent="0.25">
      <c r="B328" s="1"/>
      <c r="C328" s="3"/>
      <c r="D328" s="3"/>
    </row>
    <row r="329" spans="2:4" x14ac:dyDescent="0.25">
      <c r="B329" s="1"/>
      <c r="C329" s="3"/>
      <c r="D329" s="3"/>
    </row>
    <row r="330" spans="2:4" x14ac:dyDescent="0.25">
      <c r="B330" s="1"/>
      <c r="C330" s="3"/>
      <c r="D330" s="3"/>
    </row>
    <row r="331" spans="2:4" x14ac:dyDescent="0.25">
      <c r="B331" s="1"/>
      <c r="C331" s="3"/>
      <c r="D331" s="3"/>
    </row>
    <row r="332" spans="2:4" x14ac:dyDescent="0.25">
      <c r="B332" s="1"/>
      <c r="C332" s="3"/>
      <c r="D332" s="3"/>
    </row>
    <row r="333" spans="2:4" x14ac:dyDescent="0.25">
      <c r="B333" s="1"/>
      <c r="C333" s="3"/>
      <c r="D333" s="3"/>
    </row>
    <row r="334" spans="2:4" x14ac:dyDescent="0.25">
      <c r="B334" s="1"/>
      <c r="C334" s="3"/>
      <c r="D334" s="3"/>
    </row>
    <row r="335" spans="2:4" x14ac:dyDescent="0.25">
      <c r="B335" s="1"/>
      <c r="C335" s="3"/>
      <c r="D335" s="3"/>
    </row>
    <row r="336" spans="2:4" x14ac:dyDescent="0.25">
      <c r="B336" s="1"/>
      <c r="C336" s="3"/>
      <c r="D336" s="3"/>
    </row>
    <row r="337" spans="2:4" x14ac:dyDescent="0.25">
      <c r="B337" s="1"/>
      <c r="C337" s="3"/>
      <c r="D337" s="3"/>
    </row>
    <row r="338" spans="2:4" x14ac:dyDescent="0.25">
      <c r="B338" s="1"/>
      <c r="C338" s="3"/>
      <c r="D338" s="3"/>
    </row>
    <row r="339" spans="2:4" x14ac:dyDescent="0.25">
      <c r="B339" s="1"/>
      <c r="C339" s="3"/>
      <c r="D339" s="3"/>
    </row>
    <row r="340" spans="2:4" x14ac:dyDescent="0.25">
      <c r="B340" s="1"/>
      <c r="C340" s="3"/>
      <c r="D340" s="3"/>
    </row>
    <row r="341" spans="2:4" x14ac:dyDescent="0.25">
      <c r="B341" s="1"/>
      <c r="C341" s="3"/>
      <c r="D341" s="3"/>
    </row>
    <row r="342" spans="2:4" x14ac:dyDescent="0.25">
      <c r="B342" s="1"/>
      <c r="C342" s="3"/>
      <c r="D342" s="3"/>
    </row>
    <row r="343" spans="2:4" x14ac:dyDescent="0.25">
      <c r="B343" s="1"/>
      <c r="C343" s="3"/>
      <c r="D343" s="3"/>
    </row>
    <row r="344" spans="2:4" x14ac:dyDescent="0.25">
      <c r="B344" s="1"/>
      <c r="C344" s="3"/>
      <c r="D344" s="3"/>
    </row>
    <row r="345" spans="2:4" x14ac:dyDescent="0.25">
      <c r="B345" s="1"/>
      <c r="C345" s="3"/>
      <c r="D345" s="3"/>
    </row>
    <row r="346" spans="2:4" x14ac:dyDescent="0.25">
      <c r="B346" s="1"/>
      <c r="C346" s="3"/>
      <c r="D346" s="3"/>
    </row>
    <row r="347" spans="2:4" x14ac:dyDescent="0.25">
      <c r="B347" s="1"/>
      <c r="C347" s="3"/>
      <c r="D347" s="3"/>
    </row>
    <row r="348" spans="2:4" x14ac:dyDescent="0.25">
      <c r="B348" s="1"/>
      <c r="C348" s="3"/>
      <c r="D348" s="3"/>
    </row>
    <row r="349" spans="2:4" x14ac:dyDescent="0.25">
      <c r="B349" s="1"/>
      <c r="C349" s="3"/>
      <c r="D349" s="3"/>
    </row>
    <row r="350" spans="2:4" x14ac:dyDescent="0.25">
      <c r="B350" s="1"/>
      <c r="C350" s="3"/>
      <c r="D350" s="3"/>
    </row>
    <row r="351" spans="2:4" x14ac:dyDescent="0.25">
      <c r="B351" s="1"/>
      <c r="C351" s="3"/>
      <c r="D351" s="3"/>
    </row>
    <row r="352" spans="2:4" x14ac:dyDescent="0.25">
      <c r="B352" s="1"/>
      <c r="C352" s="3"/>
      <c r="D352" s="3"/>
    </row>
    <row r="353" spans="2:4" x14ac:dyDescent="0.25">
      <c r="B353" s="1"/>
      <c r="C353" s="3"/>
      <c r="D353" s="3"/>
    </row>
    <row r="354" spans="2:4" x14ac:dyDescent="0.25">
      <c r="B354" s="1"/>
      <c r="C354" s="3"/>
      <c r="D354" s="3"/>
    </row>
    <row r="355" spans="2:4" x14ac:dyDescent="0.25">
      <c r="B355" s="1"/>
      <c r="C355" s="3"/>
      <c r="D355" s="3"/>
    </row>
    <row r="356" spans="2:4" x14ac:dyDescent="0.25">
      <c r="B356" s="1"/>
      <c r="C356" s="3"/>
      <c r="D356" s="3"/>
    </row>
    <row r="357" spans="2:4" x14ac:dyDescent="0.25">
      <c r="B357" s="1"/>
      <c r="C357" s="3"/>
      <c r="D357" s="3"/>
    </row>
    <row r="358" spans="2:4" x14ac:dyDescent="0.25">
      <c r="B358" s="1"/>
      <c r="C358" s="3"/>
      <c r="D358" s="3"/>
    </row>
    <row r="359" spans="2:4" x14ac:dyDescent="0.25">
      <c r="B359" s="1"/>
      <c r="C359" s="3"/>
      <c r="D359" s="3"/>
    </row>
    <row r="360" spans="2:4" x14ac:dyDescent="0.25">
      <c r="B360" s="1"/>
      <c r="C360" s="3"/>
      <c r="D360" s="3"/>
    </row>
    <row r="361" spans="2:4" x14ac:dyDescent="0.25">
      <c r="B361" s="1"/>
      <c r="C361" s="3"/>
      <c r="D361" s="3"/>
    </row>
    <row r="362" spans="2:4" x14ac:dyDescent="0.25">
      <c r="B362" s="1"/>
      <c r="C362" s="3"/>
      <c r="D362" s="3"/>
    </row>
    <row r="364" spans="2:4" ht="15.75" x14ac:dyDescent="0.25">
      <c r="B364" s="6"/>
      <c r="C364" s="7"/>
      <c r="D364" s="7"/>
    </row>
    <row r="365" spans="2:4" x14ac:dyDescent="0.25">
      <c r="B365" s="1"/>
      <c r="C365" s="3"/>
      <c r="D365" s="3"/>
    </row>
    <row r="366" spans="2:4" x14ac:dyDescent="0.25">
      <c r="B366" s="1"/>
      <c r="C366" s="3"/>
      <c r="D366" s="3"/>
    </row>
    <row r="367" spans="2:4" x14ac:dyDescent="0.25">
      <c r="B367" s="1"/>
      <c r="C367" s="3"/>
      <c r="D367" s="3"/>
    </row>
    <row r="368" spans="2:4" x14ac:dyDescent="0.25">
      <c r="B368" s="1"/>
      <c r="C368" s="3"/>
      <c r="D368" s="3"/>
    </row>
    <row r="369" spans="2:4" x14ac:dyDescent="0.25">
      <c r="B369" s="1"/>
      <c r="C369" s="3"/>
      <c r="D369" s="3"/>
    </row>
    <row r="370" spans="2:4" x14ac:dyDescent="0.25">
      <c r="B370" s="1"/>
      <c r="C370" s="3"/>
      <c r="D370" s="3"/>
    </row>
    <row r="371" spans="2:4" x14ac:dyDescent="0.25">
      <c r="B371" s="1"/>
      <c r="C371" s="3"/>
      <c r="D371" s="3"/>
    </row>
    <row r="372" spans="2:4" x14ac:dyDescent="0.25">
      <c r="B372" s="1"/>
      <c r="C372" s="3"/>
      <c r="D372" s="3"/>
    </row>
    <row r="373" spans="2:4" x14ac:dyDescent="0.25">
      <c r="B373" s="1"/>
      <c r="C373" s="3"/>
      <c r="D373" s="3"/>
    </row>
    <row r="374" spans="2:4" x14ac:dyDescent="0.25">
      <c r="B374" s="1"/>
      <c r="C374" s="3"/>
      <c r="D374" s="3"/>
    </row>
    <row r="375" spans="2:4" x14ac:dyDescent="0.25">
      <c r="B375" s="1"/>
      <c r="C375" s="3"/>
      <c r="D375" s="3"/>
    </row>
    <row r="376" spans="2:4" x14ac:dyDescent="0.25">
      <c r="B376" s="1"/>
      <c r="C376" s="3"/>
      <c r="D376" s="3"/>
    </row>
    <row r="377" spans="2:4" x14ac:dyDescent="0.25">
      <c r="B377" s="1"/>
      <c r="C377" s="3"/>
      <c r="D377" s="3"/>
    </row>
    <row r="378" spans="2:4" x14ac:dyDescent="0.25">
      <c r="B378" s="1"/>
      <c r="C378" s="3"/>
      <c r="D378" s="3"/>
    </row>
    <row r="379" spans="2:4" x14ac:dyDescent="0.25">
      <c r="B379" s="1"/>
      <c r="C379" s="3"/>
      <c r="D379" s="3"/>
    </row>
    <row r="380" spans="2:4" x14ac:dyDescent="0.25">
      <c r="B380" s="1"/>
      <c r="C380" s="3"/>
      <c r="D380" s="3"/>
    </row>
    <row r="381" spans="2:4" x14ac:dyDescent="0.25">
      <c r="B381" s="1"/>
      <c r="C381" s="3"/>
      <c r="D381" s="3"/>
    </row>
    <row r="382" spans="2:4" x14ac:dyDescent="0.25">
      <c r="B382" s="1"/>
      <c r="C382" s="3"/>
      <c r="D382" s="3"/>
    </row>
    <row r="383" spans="2:4" x14ac:dyDescent="0.25">
      <c r="B383" s="1"/>
      <c r="C383" s="3"/>
      <c r="D383" s="3"/>
    </row>
    <row r="384" spans="2:4" x14ac:dyDescent="0.25">
      <c r="B384" s="1"/>
      <c r="C384" s="3"/>
      <c r="D384" s="3"/>
    </row>
    <row r="385" spans="2:4" x14ac:dyDescent="0.25">
      <c r="B385" s="1"/>
      <c r="C385" s="3"/>
      <c r="D385" s="3"/>
    </row>
    <row r="386" spans="2:4" x14ac:dyDescent="0.25">
      <c r="B386" s="1"/>
      <c r="C386" s="3"/>
      <c r="D386" s="3"/>
    </row>
    <row r="387" spans="2:4" x14ac:dyDescent="0.25">
      <c r="B387" s="1"/>
      <c r="C387" s="3"/>
      <c r="D387" s="3"/>
    </row>
    <row r="388" spans="2:4" x14ac:dyDescent="0.25">
      <c r="B388" s="1"/>
      <c r="C388" s="3"/>
      <c r="D388" s="3"/>
    </row>
    <row r="389" spans="2:4" x14ac:dyDescent="0.25">
      <c r="B389" s="1"/>
      <c r="C389" s="3"/>
      <c r="D389" s="3"/>
    </row>
    <row r="390" spans="2:4" x14ac:dyDescent="0.25">
      <c r="B390" s="1"/>
      <c r="C390" s="3"/>
      <c r="D390" s="3"/>
    </row>
    <row r="391" spans="2:4" x14ac:dyDescent="0.25">
      <c r="B391" s="1"/>
      <c r="C391" s="3"/>
      <c r="D391" s="3"/>
    </row>
    <row r="392" spans="2:4" x14ac:dyDescent="0.25">
      <c r="B392" s="1"/>
      <c r="C392" s="3"/>
      <c r="D392" s="3"/>
    </row>
    <row r="393" spans="2:4" x14ac:dyDescent="0.25">
      <c r="B393" s="1"/>
      <c r="C393" s="3"/>
      <c r="D393" s="3"/>
    </row>
    <row r="394" spans="2:4" x14ac:dyDescent="0.25">
      <c r="B394" s="1"/>
      <c r="C394" s="3"/>
      <c r="D394" s="3"/>
    </row>
    <row r="395" spans="2:4" x14ac:dyDescent="0.25">
      <c r="B395" s="1"/>
      <c r="C395" s="3"/>
      <c r="D395" s="3"/>
    </row>
    <row r="396" spans="2:4" x14ac:dyDescent="0.25">
      <c r="B396" s="1"/>
      <c r="C396" s="3"/>
      <c r="D396" s="3"/>
    </row>
    <row r="397" spans="2:4" x14ac:dyDescent="0.25">
      <c r="B397" s="1"/>
      <c r="C397" s="3"/>
      <c r="D397" s="3"/>
    </row>
    <row r="398" spans="2:4" x14ac:dyDescent="0.25">
      <c r="B398" s="1"/>
      <c r="C398" s="3"/>
      <c r="D398" s="3"/>
    </row>
    <row r="399" spans="2:4" x14ac:dyDescent="0.25">
      <c r="B399" s="1"/>
      <c r="C399" s="3"/>
      <c r="D399" s="3"/>
    </row>
    <row r="400" spans="2:4" x14ac:dyDescent="0.25">
      <c r="B400" s="1"/>
      <c r="C400" s="3"/>
      <c r="D400" s="3"/>
    </row>
    <row r="401" spans="2:4" x14ac:dyDescent="0.25">
      <c r="B401" s="1"/>
      <c r="C401" s="3"/>
      <c r="D401" s="3"/>
    </row>
    <row r="402" spans="2:4" x14ac:dyDescent="0.25">
      <c r="B402" s="1"/>
      <c r="C402" s="3"/>
      <c r="D402" s="3"/>
    </row>
    <row r="403" spans="2:4" x14ac:dyDescent="0.25">
      <c r="B403" s="1"/>
      <c r="C403" s="3"/>
      <c r="D403" s="3"/>
    </row>
    <row r="404" spans="2:4" x14ac:dyDescent="0.25">
      <c r="B404" s="1"/>
      <c r="C404" s="3"/>
      <c r="D404" s="3"/>
    </row>
    <row r="405" spans="2:4" x14ac:dyDescent="0.25">
      <c r="B405" s="1"/>
      <c r="C405" s="3"/>
      <c r="D405" s="3"/>
    </row>
    <row r="406" spans="2:4" x14ac:dyDescent="0.25">
      <c r="B406" s="1"/>
      <c r="C406" s="3"/>
      <c r="D406" s="3"/>
    </row>
    <row r="407" spans="2:4" x14ac:dyDescent="0.25">
      <c r="B407" s="1"/>
      <c r="C407" s="3"/>
      <c r="D407" s="3"/>
    </row>
    <row r="408" spans="2:4" x14ac:dyDescent="0.25">
      <c r="B408" s="1"/>
      <c r="C408" s="3"/>
      <c r="D408" s="3"/>
    </row>
    <row r="409" spans="2:4" x14ac:dyDescent="0.25">
      <c r="B409" s="1"/>
      <c r="C409" s="3"/>
      <c r="D409" s="3"/>
    </row>
    <row r="410" spans="2:4" x14ac:dyDescent="0.25">
      <c r="B410" s="1"/>
      <c r="C410" s="3"/>
      <c r="D410" s="3"/>
    </row>
    <row r="411" spans="2:4" x14ac:dyDescent="0.25">
      <c r="B411" s="1"/>
      <c r="C411" s="3"/>
      <c r="D411" s="3"/>
    </row>
    <row r="412" spans="2:4" x14ac:dyDescent="0.25">
      <c r="B412" s="1"/>
      <c r="C412" s="3"/>
      <c r="D412" s="3"/>
    </row>
    <row r="413" spans="2:4" x14ac:dyDescent="0.25">
      <c r="B413" s="1"/>
      <c r="C413" s="3"/>
      <c r="D413" s="3"/>
    </row>
    <row r="414" spans="2:4" x14ac:dyDescent="0.25">
      <c r="B414" s="1"/>
      <c r="C414" s="3"/>
      <c r="D414" s="3"/>
    </row>
    <row r="415" spans="2:4" x14ac:dyDescent="0.25">
      <c r="B415" s="1"/>
      <c r="C415" s="3"/>
      <c r="D415" s="3"/>
    </row>
    <row r="416" spans="2:4" x14ac:dyDescent="0.25">
      <c r="B416" s="1"/>
      <c r="C416" s="3"/>
      <c r="D416" s="3"/>
    </row>
    <row r="417" spans="2:4" x14ac:dyDescent="0.25">
      <c r="B417" s="1"/>
      <c r="C417" s="3"/>
      <c r="D417" s="3"/>
    </row>
    <row r="418" spans="2:4" x14ac:dyDescent="0.25">
      <c r="B418" s="1"/>
      <c r="C418" s="3"/>
      <c r="D418" s="3"/>
    </row>
    <row r="419" spans="2:4" x14ac:dyDescent="0.25">
      <c r="B419" s="1"/>
      <c r="C419" s="3"/>
      <c r="D419" s="3"/>
    </row>
    <row r="420" spans="2:4" x14ac:dyDescent="0.25">
      <c r="B420" s="1"/>
      <c r="C420" s="3"/>
      <c r="D420" s="3"/>
    </row>
    <row r="421" spans="2:4" x14ac:dyDescent="0.25">
      <c r="B421" s="1"/>
      <c r="C421" s="3"/>
      <c r="D421" s="3"/>
    </row>
    <row r="422" spans="2:4" x14ac:dyDescent="0.25">
      <c r="B422" s="1"/>
      <c r="C422" s="3"/>
      <c r="D422" s="3"/>
    </row>
    <row r="423" spans="2:4" x14ac:dyDescent="0.25">
      <c r="B423" s="1"/>
      <c r="C423" s="3"/>
      <c r="D423" s="3"/>
    </row>
    <row r="424" spans="2:4" x14ac:dyDescent="0.25">
      <c r="B424" s="1"/>
      <c r="C424" s="3"/>
      <c r="D424" s="3"/>
    </row>
    <row r="425" spans="2:4" x14ac:dyDescent="0.25">
      <c r="B425" s="1"/>
      <c r="C425" s="3"/>
      <c r="D425" s="3"/>
    </row>
    <row r="426" spans="2:4" x14ac:dyDescent="0.25">
      <c r="B426" s="1"/>
      <c r="C426" s="3"/>
      <c r="D426" s="3"/>
    </row>
    <row r="427" spans="2:4" x14ac:dyDescent="0.25">
      <c r="B427" s="1"/>
      <c r="C427" s="3"/>
      <c r="D427" s="3"/>
    </row>
    <row r="428" spans="2:4" x14ac:dyDescent="0.25">
      <c r="B428" s="1"/>
      <c r="C428" s="3"/>
      <c r="D428" s="3"/>
    </row>
    <row r="429" spans="2:4" x14ac:dyDescent="0.25">
      <c r="B429" s="1"/>
      <c r="C429" s="3"/>
      <c r="D429" s="3"/>
    </row>
    <row r="430" spans="2:4" x14ac:dyDescent="0.25">
      <c r="B430" s="1"/>
      <c r="C430" s="3"/>
      <c r="D430" s="3"/>
    </row>
    <row r="431" spans="2:4" x14ac:dyDescent="0.25">
      <c r="B431" s="1"/>
      <c r="C431" s="3"/>
      <c r="D431" s="3"/>
    </row>
    <row r="432" spans="2:4" x14ac:dyDescent="0.25">
      <c r="B432" s="1"/>
      <c r="C432" s="3"/>
      <c r="D432" s="3"/>
    </row>
    <row r="433" spans="2:4" x14ac:dyDescent="0.25">
      <c r="B433" s="1"/>
      <c r="C433" s="3"/>
      <c r="D433" s="3"/>
    </row>
    <row r="434" spans="2:4" x14ac:dyDescent="0.25">
      <c r="B434" s="1"/>
      <c r="C434" s="3"/>
      <c r="D434" s="3"/>
    </row>
    <row r="435" spans="2:4" x14ac:dyDescent="0.25">
      <c r="B435" s="1"/>
      <c r="C435" s="3"/>
      <c r="D435" s="3"/>
    </row>
    <row r="436" spans="2:4" x14ac:dyDescent="0.25">
      <c r="B436" s="1"/>
      <c r="C436" s="3"/>
      <c r="D436" s="3"/>
    </row>
    <row r="437" spans="2:4" x14ac:dyDescent="0.25">
      <c r="B437" s="1"/>
      <c r="C437" s="3"/>
      <c r="D437" s="3"/>
    </row>
    <row r="438" spans="2:4" x14ac:dyDescent="0.25">
      <c r="B438" s="1"/>
      <c r="C438" s="3"/>
      <c r="D438" s="3"/>
    </row>
    <row r="439" spans="2:4" x14ac:dyDescent="0.25">
      <c r="B439" s="1"/>
      <c r="C439" s="3"/>
      <c r="D439" s="3"/>
    </row>
    <row r="440" spans="2:4" x14ac:dyDescent="0.25">
      <c r="B440" s="1"/>
      <c r="C440" s="3"/>
      <c r="D440" s="3"/>
    </row>
    <row r="441" spans="2:4" x14ac:dyDescent="0.25">
      <c r="B441" s="1"/>
      <c r="C441" s="3"/>
      <c r="D441" s="3"/>
    </row>
    <row r="442" spans="2:4" x14ac:dyDescent="0.25">
      <c r="B442" s="1"/>
      <c r="C442" s="3"/>
      <c r="D442" s="3"/>
    </row>
    <row r="443" spans="2:4" x14ac:dyDescent="0.25">
      <c r="B443" s="1"/>
      <c r="C443" s="3"/>
      <c r="D443" s="3"/>
    </row>
    <row r="444" spans="2:4" x14ac:dyDescent="0.25">
      <c r="B444" s="1"/>
      <c r="C444" s="3"/>
      <c r="D444" s="3"/>
    </row>
    <row r="445" spans="2:4" x14ac:dyDescent="0.25">
      <c r="B445" s="1"/>
      <c r="C445" s="3"/>
      <c r="D445" s="3"/>
    </row>
    <row r="446" spans="2:4" x14ac:dyDescent="0.25">
      <c r="B446" s="1"/>
      <c r="C446" s="3"/>
      <c r="D446" s="3"/>
    </row>
    <row r="447" spans="2:4" x14ac:dyDescent="0.25">
      <c r="B447" s="1"/>
      <c r="C447" s="3"/>
      <c r="D447" s="3"/>
    </row>
    <row r="448" spans="2:4" x14ac:dyDescent="0.25">
      <c r="B448" s="1"/>
      <c r="C448" s="3"/>
      <c r="D448" s="3"/>
    </row>
    <row r="449" spans="2:4" x14ac:dyDescent="0.25">
      <c r="B449" s="1"/>
      <c r="C449" s="3"/>
      <c r="D449" s="3"/>
    </row>
    <row r="450" spans="2:4" x14ac:dyDescent="0.25">
      <c r="B450" s="1"/>
      <c r="C450" s="3"/>
      <c r="D450" s="3"/>
    </row>
    <row r="451" spans="2:4" x14ac:dyDescent="0.25">
      <c r="B451" s="1"/>
      <c r="C451" s="3"/>
      <c r="D451" s="3"/>
    </row>
    <row r="452" spans="2:4" x14ac:dyDescent="0.25">
      <c r="B452" s="1"/>
      <c r="C452" s="3"/>
      <c r="D452" s="3"/>
    </row>
    <row r="453" spans="2:4" x14ac:dyDescent="0.25">
      <c r="B453" s="1"/>
      <c r="C453" s="3"/>
      <c r="D453" s="3"/>
    </row>
    <row r="454" spans="2:4" x14ac:dyDescent="0.25">
      <c r="B454" s="1"/>
      <c r="C454" s="3"/>
      <c r="D454" s="3"/>
    </row>
    <row r="455" spans="2:4" x14ac:dyDescent="0.25">
      <c r="B455" s="1"/>
      <c r="C455" s="3"/>
      <c r="D455" s="3"/>
    </row>
    <row r="456" spans="2:4" x14ac:dyDescent="0.25">
      <c r="B456" s="1"/>
      <c r="C456" s="3"/>
      <c r="D456" s="3"/>
    </row>
    <row r="457" spans="2:4" x14ac:dyDescent="0.25">
      <c r="B457" s="1"/>
      <c r="C457" s="3"/>
      <c r="D457" s="3"/>
    </row>
    <row r="458" spans="2:4" x14ac:dyDescent="0.25">
      <c r="B458" s="1"/>
      <c r="C458" s="3"/>
      <c r="D458" s="3"/>
    </row>
    <row r="459" spans="2:4" x14ac:dyDescent="0.25">
      <c r="B459" s="1"/>
      <c r="C459" s="3"/>
      <c r="D459" s="3"/>
    </row>
    <row r="460" spans="2:4" x14ac:dyDescent="0.25">
      <c r="B460" s="1"/>
      <c r="C460" s="3"/>
      <c r="D460" s="3"/>
    </row>
    <row r="461" spans="2:4" x14ac:dyDescent="0.25">
      <c r="B461" s="1"/>
      <c r="C461" s="3"/>
      <c r="D461" s="3"/>
    </row>
    <row r="462" spans="2:4" x14ac:dyDescent="0.25">
      <c r="B462" s="1"/>
      <c r="C462" s="3"/>
      <c r="D462" s="3"/>
    </row>
    <row r="463" spans="2:4" x14ac:dyDescent="0.25">
      <c r="B463" s="1"/>
      <c r="C463" s="3"/>
      <c r="D463" s="3"/>
    </row>
    <row r="464" spans="2:4" x14ac:dyDescent="0.25">
      <c r="B464" s="1"/>
      <c r="C464" s="3"/>
      <c r="D464" s="3"/>
    </row>
    <row r="465" spans="2:4" x14ac:dyDescent="0.25">
      <c r="B465" s="1"/>
      <c r="C465" s="3"/>
      <c r="D465" s="3"/>
    </row>
    <row r="466" spans="2:4" x14ac:dyDescent="0.25">
      <c r="B466" s="1"/>
      <c r="C466" s="3"/>
      <c r="D466" s="3"/>
    </row>
    <row r="467" spans="2:4" x14ac:dyDescent="0.25">
      <c r="B467" s="1"/>
      <c r="C467" s="3"/>
      <c r="D467" s="3"/>
    </row>
    <row r="468" spans="2:4" x14ac:dyDescent="0.25">
      <c r="B468" s="1"/>
      <c r="C468" s="3"/>
      <c r="D468" s="3"/>
    </row>
    <row r="469" spans="2:4" x14ac:dyDescent="0.25">
      <c r="B469" s="1"/>
      <c r="C469" s="3"/>
      <c r="D469" s="3"/>
    </row>
    <row r="470" spans="2:4" x14ac:dyDescent="0.25">
      <c r="B470" s="1"/>
      <c r="C470" s="3"/>
      <c r="D470" s="3"/>
    </row>
    <row r="471" spans="2:4" x14ac:dyDescent="0.25">
      <c r="B471" s="1"/>
      <c r="C471" s="3"/>
      <c r="D471" s="3"/>
    </row>
    <row r="472" spans="2:4" x14ac:dyDescent="0.25">
      <c r="B472" s="1"/>
      <c r="C472" s="3"/>
      <c r="D472" s="3"/>
    </row>
    <row r="473" spans="2:4" x14ac:dyDescent="0.25">
      <c r="B473" s="1"/>
      <c r="C473" s="3"/>
      <c r="D473" s="3"/>
    </row>
    <row r="474" spans="2:4" x14ac:dyDescent="0.25">
      <c r="B474" s="1"/>
      <c r="C474" s="3"/>
      <c r="D474" s="3"/>
    </row>
    <row r="475" spans="2:4" x14ac:dyDescent="0.25">
      <c r="B475" s="1"/>
      <c r="C475" s="3"/>
      <c r="D475" s="3"/>
    </row>
    <row r="476" spans="2:4" x14ac:dyDescent="0.25">
      <c r="B476" s="1"/>
      <c r="C476" s="3"/>
      <c r="D476" s="3"/>
    </row>
    <row r="477" spans="2:4" x14ac:dyDescent="0.25">
      <c r="B477" s="1"/>
      <c r="C477" s="3"/>
      <c r="D477" s="3"/>
    </row>
    <row r="478" spans="2:4" x14ac:dyDescent="0.25">
      <c r="B478" s="1"/>
      <c r="C478" s="3"/>
      <c r="D478" s="3"/>
    </row>
    <row r="479" spans="2:4" x14ac:dyDescent="0.25">
      <c r="B479" s="1"/>
      <c r="C479" s="3"/>
      <c r="D479" s="3"/>
    </row>
    <row r="480" spans="2:4" x14ac:dyDescent="0.25">
      <c r="B480" s="1"/>
      <c r="C480" s="3"/>
      <c r="D480" s="3"/>
    </row>
    <row r="481" spans="2:5" x14ac:dyDescent="0.25">
      <c r="B481" s="1"/>
      <c r="C481" s="3"/>
      <c r="D481" s="3"/>
    </row>
    <row r="482" spans="2:5" x14ac:dyDescent="0.25">
      <c r="B482" s="1"/>
      <c r="C482" s="3"/>
      <c r="D482" s="3"/>
    </row>
    <row r="484" spans="2:5" ht="15.75" x14ac:dyDescent="0.25">
      <c r="B484" s="6"/>
      <c r="C484" s="7"/>
      <c r="D484" s="6"/>
      <c r="E484" s="6"/>
    </row>
    <row r="485" spans="2:5" x14ac:dyDescent="0.25">
      <c r="B485" s="1"/>
      <c r="C485" s="3"/>
      <c r="D485" s="3"/>
      <c r="E485" s="3"/>
    </row>
    <row r="486" spans="2:5" x14ac:dyDescent="0.25">
      <c r="B486" s="1"/>
      <c r="C486" s="3"/>
      <c r="D486" s="3"/>
      <c r="E486" s="3"/>
    </row>
    <row r="487" spans="2:5" x14ac:dyDescent="0.25">
      <c r="B487" s="1"/>
      <c r="C487" s="3"/>
      <c r="D487" s="3"/>
      <c r="E487" s="3"/>
    </row>
    <row r="488" spans="2:5" x14ac:dyDescent="0.25">
      <c r="B488" s="1"/>
      <c r="C488" s="3"/>
      <c r="D488" s="3"/>
      <c r="E488" s="3"/>
    </row>
    <row r="489" spans="2:5" x14ac:dyDescent="0.25">
      <c r="B489" s="1"/>
      <c r="C489" s="3"/>
      <c r="D489" s="3"/>
      <c r="E489" s="3"/>
    </row>
    <row r="490" spans="2:5" x14ac:dyDescent="0.25">
      <c r="B490" s="1"/>
      <c r="C490" s="3"/>
      <c r="D490" s="3"/>
      <c r="E490" s="3"/>
    </row>
    <row r="491" spans="2:5" x14ac:dyDescent="0.25">
      <c r="B491" s="1"/>
      <c r="C491" s="3"/>
      <c r="D491" s="3"/>
      <c r="E491" s="3"/>
    </row>
    <row r="492" spans="2:5" x14ac:dyDescent="0.25">
      <c r="B492" s="1"/>
      <c r="C492" s="3"/>
      <c r="D492" s="3"/>
      <c r="E492" s="3"/>
    </row>
    <row r="493" spans="2:5" x14ac:dyDescent="0.25">
      <c r="B493" s="1"/>
      <c r="C493" s="3"/>
      <c r="D493" s="3"/>
      <c r="E493" s="3"/>
    </row>
    <row r="494" spans="2:5" x14ac:dyDescent="0.25">
      <c r="B494" s="1"/>
      <c r="C494" s="3"/>
      <c r="D494" s="3"/>
      <c r="E494" s="3"/>
    </row>
    <row r="495" spans="2:5" x14ac:dyDescent="0.25">
      <c r="B495" s="1"/>
      <c r="C495" s="3"/>
      <c r="D495" s="3"/>
      <c r="E495" s="3"/>
    </row>
    <row r="496" spans="2:5" x14ac:dyDescent="0.25">
      <c r="B496" s="1"/>
      <c r="C496" s="3"/>
      <c r="D496" s="3"/>
      <c r="E496" s="3"/>
    </row>
    <row r="497" spans="2:5" x14ac:dyDescent="0.25">
      <c r="B497" s="1"/>
      <c r="C497" s="3"/>
      <c r="D497" s="3"/>
      <c r="E497" s="3"/>
    </row>
    <row r="498" spans="2:5" x14ac:dyDescent="0.25">
      <c r="B498" s="1"/>
      <c r="C498" s="3"/>
      <c r="D498" s="3"/>
      <c r="E498" s="3"/>
    </row>
    <row r="499" spans="2:5" x14ac:dyDescent="0.25">
      <c r="B499" s="1"/>
      <c r="C499" s="3"/>
      <c r="D499" s="3"/>
      <c r="E499" s="3"/>
    </row>
    <row r="500" spans="2:5" x14ac:dyDescent="0.25">
      <c r="B500" s="1"/>
      <c r="C500" s="3"/>
      <c r="D500" s="3"/>
      <c r="E500" s="3"/>
    </row>
    <row r="501" spans="2:5" x14ac:dyDescent="0.25">
      <c r="B501" s="1"/>
      <c r="C501" s="3"/>
      <c r="D501" s="3"/>
      <c r="E501" s="3"/>
    </row>
    <row r="502" spans="2:5" x14ac:dyDescent="0.25">
      <c r="B502" s="1"/>
      <c r="C502" s="3"/>
      <c r="D502" s="3"/>
      <c r="E502" s="3"/>
    </row>
    <row r="503" spans="2:5" x14ac:dyDescent="0.25">
      <c r="B503" s="1"/>
      <c r="C503" s="3"/>
      <c r="D503" s="3"/>
      <c r="E503" s="3"/>
    </row>
    <row r="504" spans="2:5" x14ac:dyDescent="0.25">
      <c r="B504" s="1"/>
      <c r="C504" s="3"/>
      <c r="D504" s="3"/>
      <c r="E504" s="3"/>
    </row>
    <row r="505" spans="2:5" x14ac:dyDescent="0.25">
      <c r="B505" s="1"/>
      <c r="C505" s="3"/>
      <c r="D505" s="3"/>
      <c r="E505" s="3"/>
    </row>
    <row r="506" spans="2:5" x14ac:dyDescent="0.25">
      <c r="B506" s="1"/>
      <c r="C506" s="3"/>
      <c r="D506" s="3"/>
      <c r="E506" s="3"/>
    </row>
    <row r="507" spans="2:5" x14ac:dyDescent="0.25">
      <c r="B507" s="1"/>
      <c r="C507" s="3"/>
      <c r="D507" s="3"/>
      <c r="E507" s="3"/>
    </row>
    <row r="508" spans="2:5" x14ac:dyDescent="0.25">
      <c r="B508" s="1"/>
      <c r="C508" s="3"/>
      <c r="D508" s="3"/>
      <c r="E508" s="3"/>
    </row>
    <row r="509" spans="2:5" x14ac:dyDescent="0.25">
      <c r="B509" s="1"/>
      <c r="C509" s="3"/>
      <c r="D509" s="3"/>
      <c r="E509" s="3"/>
    </row>
    <row r="510" spans="2:5" x14ac:dyDescent="0.25">
      <c r="B510" s="1"/>
      <c r="C510" s="3"/>
      <c r="D510" s="3"/>
      <c r="E510" s="3"/>
    </row>
    <row r="511" spans="2:5" x14ac:dyDescent="0.25">
      <c r="B511" s="1"/>
      <c r="C511" s="3"/>
      <c r="D511" s="3"/>
      <c r="E511" s="3"/>
    </row>
    <row r="512" spans="2:5" x14ac:dyDescent="0.25">
      <c r="B512" s="1"/>
      <c r="C512" s="3"/>
      <c r="D512" s="3"/>
      <c r="E512" s="3"/>
    </row>
    <row r="513" spans="2:5" x14ac:dyDescent="0.25">
      <c r="B513" s="1"/>
      <c r="C513" s="3"/>
      <c r="D513" s="3"/>
      <c r="E513" s="3"/>
    </row>
    <row r="514" spans="2:5" x14ac:dyDescent="0.25">
      <c r="B514" s="1"/>
      <c r="C514" s="3"/>
      <c r="D514" s="3"/>
      <c r="E514" s="3"/>
    </row>
    <row r="515" spans="2:5" x14ac:dyDescent="0.25">
      <c r="B515" s="1"/>
      <c r="C515" s="3"/>
      <c r="D515" s="3"/>
      <c r="E515" s="3"/>
    </row>
    <row r="516" spans="2:5" x14ac:dyDescent="0.25">
      <c r="B516" s="1"/>
      <c r="C516" s="3"/>
      <c r="D516" s="3"/>
      <c r="E516" s="3"/>
    </row>
    <row r="517" spans="2:5" x14ac:dyDescent="0.25">
      <c r="B517" s="1"/>
      <c r="C517" s="3"/>
      <c r="D517" s="3"/>
      <c r="E517" s="3"/>
    </row>
    <row r="518" spans="2:5" x14ac:dyDescent="0.25">
      <c r="B518" s="1"/>
      <c r="C518" s="3"/>
      <c r="D518" s="3"/>
      <c r="E518" s="3"/>
    </row>
    <row r="519" spans="2:5" x14ac:dyDescent="0.25">
      <c r="B519" s="1"/>
      <c r="C519" s="3"/>
      <c r="D519" s="3"/>
      <c r="E519" s="3"/>
    </row>
    <row r="520" spans="2:5" x14ac:dyDescent="0.25">
      <c r="B520" s="1"/>
      <c r="C520" s="3"/>
      <c r="D520" s="3"/>
      <c r="E520" s="3"/>
    </row>
    <row r="521" spans="2:5" x14ac:dyDescent="0.25">
      <c r="B521" s="1"/>
      <c r="C521" s="3"/>
      <c r="D521" s="3"/>
      <c r="E521" s="3"/>
    </row>
    <row r="522" spans="2:5" x14ac:dyDescent="0.25">
      <c r="B522" s="1"/>
      <c r="C522" s="3"/>
      <c r="D522" s="3"/>
      <c r="E522" s="3"/>
    </row>
    <row r="523" spans="2:5" x14ac:dyDescent="0.25">
      <c r="B523" s="1"/>
      <c r="C523" s="3"/>
      <c r="D523" s="3"/>
      <c r="E523" s="3"/>
    </row>
    <row r="524" spans="2:5" x14ac:dyDescent="0.25">
      <c r="B524" s="1"/>
      <c r="C524" s="3"/>
      <c r="D524" s="3"/>
      <c r="E524" s="3"/>
    </row>
    <row r="525" spans="2:5" x14ac:dyDescent="0.25">
      <c r="B525" s="1"/>
      <c r="C525" s="3"/>
      <c r="D525" s="3"/>
      <c r="E525" s="3"/>
    </row>
    <row r="526" spans="2:5" x14ac:dyDescent="0.25">
      <c r="B526" s="1"/>
      <c r="C526" s="3"/>
      <c r="D526" s="3"/>
      <c r="E526" s="3"/>
    </row>
    <row r="527" spans="2:5" x14ac:dyDescent="0.25">
      <c r="B527" s="1"/>
      <c r="C527" s="3"/>
      <c r="D527" s="3"/>
      <c r="E527" s="3"/>
    </row>
    <row r="528" spans="2:5" x14ac:dyDescent="0.25">
      <c r="B528" s="1"/>
      <c r="C528" s="3"/>
      <c r="D528" s="3"/>
      <c r="E528" s="3"/>
    </row>
    <row r="529" spans="2:5" x14ac:dyDescent="0.25">
      <c r="B529" s="1"/>
      <c r="C529" s="3"/>
      <c r="D529" s="3"/>
      <c r="E529" s="3"/>
    </row>
    <row r="530" spans="2:5" x14ac:dyDescent="0.25">
      <c r="B530" s="1"/>
      <c r="C530" s="3"/>
      <c r="D530" s="3"/>
      <c r="E530" s="3"/>
    </row>
    <row r="531" spans="2:5" x14ac:dyDescent="0.25">
      <c r="B531" s="1"/>
      <c r="C531" s="3"/>
      <c r="D531" s="3"/>
      <c r="E531" s="3"/>
    </row>
    <row r="532" spans="2:5" x14ac:dyDescent="0.25">
      <c r="B532" s="1"/>
      <c r="C532" s="3"/>
      <c r="D532" s="3"/>
      <c r="E532" s="3"/>
    </row>
    <row r="533" spans="2:5" x14ac:dyDescent="0.25">
      <c r="B533" s="1"/>
      <c r="C533" s="3"/>
      <c r="D533" s="3"/>
      <c r="E533" s="3"/>
    </row>
    <row r="534" spans="2:5" x14ac:dyDescent="0.25">
      <c r="B534" s="1"/>
      <c r="C534" s="3"/>
      <c r="D534" s="3"/>
      <c r="E534" s="3"/>
    </row>
    <row r="535" spans="2:5" x14ac:dyDescent="0.25">
      <c r="B535" s="1"/>
      <c r="C535" s="3"/>
      <c r="D535" s="3"/>
      <c r="E535" s="3"/>
    </row>
    <row r="536" spans="2:5" x14ac:dyDescent="0.25">
      <c r="B536" s="1"/>
      <c r="C536" s="3"/>
      <c r="D536" s="3"/>
      <c r="E536" s="3"/>
    </row>
    <row r="537" spans="2:5" x14ac:dyDescent="0.25">
      <c r="B537" s="1"/>
      <c r="C537" s="3"/>
      <c r="D537" s="3"/>
      <c r="E537" s="3"/>
    </row>
    <row r="538" spans="2:5" x14ac:dyDescent="0.25">
      <c r="B538" s="1"/>
      <c r="C538" s="3"/>
      <c r="D538" s="3"/>
      <c r="E538" s="3"/>
    </row>
    <row r="539" spans="2:5" x14ac:dyDescent="0.25">
      <c r="B539" s="1"/>
      <c r="C539" s="3"/>
      <c r="D539" s="3"/>
      <c r="E539" s="3"/>
    </row>
    <row r="540" spans="2:5" x14ac:dyDescent="0.25">
      <c r="B540" s="1"/>
      <c r="C540" s="3"/>
      <c r="D540" s="3"/>
      <c r="E540" s="3"/>
    </row>
    <row r="541" spans="2:5" x14ac:dyDescent="0.25">
      <c r="B541" s="1"/>
      <c r="C541" s="3"/>
      <c r="D541" s="3"/>
      <c r="E541" s="3"/>
    </row>
    <row r="542" spans="2:5" x14ac:dyDescent="0.25">
      <c r="B542" s="1"/>
      <c r="C542" s="3"/>
      <c r="D542" s="3"/>
      <c r="E542" s="3"/>
    </row>
    <row r="543" spans="2:5" x14ac:dyDescent="0.25">
      <c r="B543" s="1"/>
      <c r="C543" s="3"/>
      <c r="D543" s="3"/>
      <c r="E543" s="3"/>
    </row>
    <row r="544" spans="2:5" x14ac:dyDescent="0.25">
      <c r="B544" s="1"/>
      <c r="C544" s="3"/>
      <c r="D544" s="3"/>
      <c r="E544" s="3"/>
    </row>
    <row r="545" spans="2:5" x14ac:dyDescent="0.25">
      <c r="B545" s="1"/>
      <c r="C545" s="3"/>
      <c r="D545" s="3"/>
      <c r="E545" s="3"/>
    </row>
    <row r="546" spans="2:5" x14ac:dyDescent="0.25">
      <c r="B546" s="1"/>
      <c r="C546" s="3"/>
      <c r="D546" s="3"/>
      <c r="E546" s="3"/>
    </row>
    <row r="547" spans="2:5" x14ac:dyDescent="0.25">
      <c r="B547" s="1"/>
      <c r="C547" s="3"/>
      <c r="D547" s="3"/>
      <c r="E547" s="3"/>
    </row>
    <row r="548" spans="2:5" x14ac:dyDescent="0.25">
      <c r="B548" s="1"/>
      <c r="C548" s="3"/>
      <c r="D548" s="3"/>
      <c r="E548" s="3"/>
    </row>
    <row r="549" spans="2:5" x14ac:dyDescent="0.25">
      <c r="B549" s="1"/>
      <c r="C549" s="3"/>
      <c r="D549" s="3"/>
      <c r="E549" s="3"/>
    </row>
    <row r="550" spans="2:5" x14ac:dyDescent="0.25">
      <c r="B550" s="1"/>
      <c r="C550" s="3"/>
      <c r="D550" s="3"/>
      <c r="E550" s="3"/>
    </row>
    <row r="551" spans="2:5" x14ac:dyDescent="0.25">
      <c r="B551" s="1"/>
      <c r="C551" s="3"/>
      <c r="D551" s="3"/>
      <c r="E551" s="3"/>
    </row>
    <row r="552" spans="2:5" x14ac:dyDescent="0.25">
      <c r="B552" s="1"/>
      <c r="C552" s="3"/>
      <c r="D552" s="3"/>
      <c r="E552" s="3"/>
    </row>
    <row r="553" spans="2:5" x14ac:dyDescent="0.25">
      <c r="B553" s="1"/>
      <c r="C553" s="3"/>
      <c r="D553" s="3"/>
      <c r="E553" s="3"/>
    </row>
    <row r="554" spans="2:5" x14ac:dyDescent="0.25">
      <c r="B554" s="1"/>
      <c r="C554" s="3"/>
      <c r="D554" s="3"/>
      <c r="E554" s="3"/>
    </row>
    <row r="555" spans="2:5" x14ac:dyDescent="0.25">
      <c r="B555" s="1"/>
      <c r="C555" s="3"/>
      <c r="D555" s="3"/>
      <c r="E555" s="3"/>
    </row>
    <row r="556" spans="2:5" x14ac:dyDescent="0.25">
      <c r="B556" s="1"/>
      <c r="C556" s="3"/>
      <c r="D556" s="3"/>
      <c r="E556" s="3"/>
    </row>
    <row r="557" spans="2:5" x14ac:dyDescent="0.25">
      <c r="B557" s="1"/>
      <c r="C557" s="3"/>
      <c r="D557" s="3"/>
      <c r="E557" s="3"/>
    </row>
    <row r="558" spans="2:5" x14ac:dyDescent="0.25">
      <c r="B558" s="1"/>
      <c r="C558" s="3"/>
      <c r="D558" s="3"/>
      <c r="E558" s="3"/>
    </row>
    <row r="559" spans="2:5" x14ac:dyDescent="0.25">
      <c r="B559" s="1"/>
      <c r="C559" s="3"/>
      <c r="D559" s="3"/>
      <c r="E559" s="3"/>
    </row>
    <row r="560" spans="2:5" x14ac:dyDescent="0.25">
      <c r="B560" s="1"/>
      <c r="C560" s="3"/>
      <c r="D560" s="3"/>
      <c r="E560" s="3"/>
    </row>
    <row r="561" spans="2:5" x14ac:dyDescent="0.25">
      <c r="B561" s="1"/>
      <c r="C561" s="3"/>
      <c r="D561" s="3"/>
      <c r="E561" s="3"/>
    </row>
    <row r="562" spans="2:5" x14ac:dyDescent="0.25">
      <c r="B562" s="1"/>
      <c r="C562" s="3"/>
      <c r="D562" s="3"/>
      <c r="E562" s="3"/>
    </row>
    <row r="563" spans="2:5" x14ac:dyDescent="0.25">
      <c r="B563" s="1"/>
      <c r="C563" s="3"/>
      <c r="D563" s="3"/>
      <c r="E563" s="3"/>
    </row>
    <row r="564" spans="2:5" x14ac:dyDescent="0.25">
      <c r="B564" s="1"/>
      <c r="C564" s="3"/>
      <c r="D564" s="3"/>
      <c r="E564" s="3"/>
    </row>
    <row r="565" spans="2:5" x14ac:dyDescent="0.25">
      <c r="B565" s="1"/>
      <c r="C565" s="3"/>
      <c r="D565" s="3"/>
      <c r="E565" s="3"/>
    </row>
    <row r="566" spans="2:5" x14ac:dyDescent="0.25">
      <c r="B566" s="1"/>
      <c r="C566" s="3"/>
      <c r="D566" s="3"/>
      <c r="E566" s="3"/>
    </row>
    <row r="567" spans="2:5" x14ac:dyDescent="0.25">
      <c r="B567" s="1"/>
      <c r="C567" s="3"/>
      <c r="D567" s="3"/>
      <c r="E567" s="3"/>
    </row>
    <row r="568" spans="2:5" x14ac:dyDescent="0.25">
      <c r="B568" s="1"/>
      <c r="C568" s="3"/>
      <c r="D568" s="3"/>
      <c r="E568" s="3"/>
    </row>
    <row r="569" spans="2:5" x14ac:dyDescent="0.25">
      <c r="B569" s="1"/>
      <c r="C569" s="3"/>
      <c r="D569" s="3"/>
      <c r="E569" s="3"/>
    </row>
    <row r="570" spans="2:5" x14ac:dyDescent="0.25">
      <c r="B570" s="1"/>
      <c r="C570" s="3"/>
      <c r="D570" s="3"/>
      <c r="E570" s="3"/>
    </row>
    <row r="571" spans="2:5" x14ac:dyDescent="0.25">
      <c r="B571" s="1"/>
      <c r="C571" s="3"/>
      <c r="D571" s="3"/>
      <c r="E571" s="3"/>
    </row>
    <row r="572" spans="2:5" x14ac:dyDescent="0.25">
      <c r="B572" s="1"/>
      <c r="C572" s="3"/>
      <c r="D572" s="3"/>
      <c r="E572" s="3"/>
    </row>
    <row r="573" spans="2:5" x14ac:dyDescent="0.25">
      <c r="B573" s="1"/>
      <c r="C573" s="3"/>
      <c r="D573" s="3"/>
      <c r="E573" s="3"/>
    </row>
    <row r="574" spans="2:5" x14ac:dyDescent="0.25">
      <c r="B574" s="1"/>
      <c r="C574" s="3"/>
      <c r="D574" s="3"/>
      <c r="E574" s="3"/>
    </row>
    <row r="575" spans="2:5" x14ac:dyDescent="0.25">
      <c r="B575" s="1"/>
      <c r="C575" s="3"/>
      <c r="D575" s="3"/>
      <c r="E575" s="3"/>
    </row>
    <row r="576" spans="2:5" x14ac:dyDescent="0.25">
      <c r="B576" s="1"/>
      <c r="C576" s="3"/>
      <c r="D576" s="3"/>
      <c r="E576" s="3"/>
    </row>
    <row r="577" spans="2:5" x14ac:dyDescent="0.25">
      <c r="B577" s="1"/>
      <c r="C577" s="3"/>
      <c r="D577" s="3"/>
      <c r="E577" s="3"/>
    </row>
    <row r="578" spans="2:5" x14ac:dyDescent="0.25">
      <c r="B578" s="1"/>
      <c r="C578" s="3"/>
      <c r="D578" s="3"/>
      <c r="E578" s="3"/>
    </row>
    <row r="579" spans="2:5" x14ac:dyDescent="0.25">
      <c r="B579" s="1"/>
      <c r="C579" s="3"/>
      <c r="D579" s="3"/>
      <c r="E579" s="3"/>
    </row>
    <row r="580" spans="2:5" x14ac:dyDescent="0.25">
      <c r="B580" s="1"/>
      <c r="C580" s="3"/>
      <c r="D580" s="3"/>
      <c r="E580" s="3"/>
    </row>
    <row r="581" spans="2:5" x14ac:dyDescent="0.25">
      <c r="B581" s="1"/>
      <c r="C581" s="3"/>
      <c r="D581" s="3"/>
      <c r="E581" s="3"/>
    </row>
    <row r="582" spans="2:5" x14ac:dyDescent="0.25">
      <c r="B582" s="1"/>
      <c r="C582" s="3"/>
      <c r="D582" s="3"/>
      <c r="E582" s="3"/>
    </row>
    <row r="583" spans="2:5" x14ac:dyDescent="0.25">
      <c r="B583" s="1"/>
      <c r="C583" s="3"/>
      <c r="D583" s="3"/>
      <c r="E583" s="3"/>
    </row>
    <row r="584" spans="2:5" x14ac:dyDescent="0.25">
      <c r="B584" s="1"/>
      <c r="C584" s="3"/>
      <c r="D584" s="3"/>
      <c r="E584" s="3"/>
    </row>
    <row r="585" spans="2:5" x14ac:dyDescent="0.25">
      <c r="B585" s="1"/>
      <c r="C585" s="3"/>
      <c r="D585" s="3"/>
      <c r="E585" s="3"/>
    </row>
    <row r="586" spans="2:5" x14ac:dyDescent="0.25">
      <c r="B586" s="1"/>
      <c r="C586" s="3"/>
      <c r="D586" s="3"/>
      <c r="E586" s="3"/>
    </row>
    <row r="587" spans="2:5" x14ac:dyDescent="0.25">
      <c r="B587" s="1"/>
      <c r="C587" s="3"/>
      <c r="D587" s="3"/>
      <c r="E587" s="3"/>
    </row>
    <row r="588" spans="2:5" x14ac:dyDescent="0.25">
      <c r="B588" s="1"/>
      <c r="C588" s="3"/>
      <c r="D588" s="3"/>
      <c r="E588" s="3"/>
    </row>
    <row r="589" spans="2:5" x14ac:dyDescent="0.25">
      <c r="B589" s="1"/>
      <c r="C589" s="3"/>
      <c r="D589" s="3"/>
      <c r="E589" s="3"/>
    </row>
    <row r="590" spans="2:5" x14ac:dyDescent="0.25">
      <c r="B590" s="1"/>
      <c r="C590" s="3"/>
      <c r="D590" s="3"/>
      <c r="E590" s="3"/>
    </row>
    <row r="591" spans="2:5" x14ac:dyDescent="0.25">
      <c r="B591" s="1"/>
      <c r="C591" s="3"/>
      <c r="D591" s="3"/>
      <c r="E591" s="3"/>
    </row>
    <row r="592" spans="2:5" x14ac:dyDescent="0.25">
      <c r="B592" s="1"/>
      <c r="C592" s="3"/>
      <c r="D592" s="3"/>
      <c r="E592" s="3"/>
    </row>
    <row r="593" spans="2:5" x14ac:dyDescent="0.25">
      <c r="B593" s="1"/>
      <c r="C593" s="3"/>
      <c r="D593" s="3"/>
      <c r="E593" s="3"/>
    </row>
    <row r="594" spans="2:5" x14ac:dyDescent="0.25">
      <c r="B594" s="1"/>
      <c r="C594" s="3"/>
      <c r="D594" s="3"/>
      <c r="E594" s="3"/>
    </row>
    <row r="595" spans="2:5" x14ac:dyDescent="0.25">
      <c r="B595" s="1"/>
      <c r="C595" s="3"/>
      <c r="D595" s="3"/>
      <c r="E595" s="3"/>
    </row>
    <row r="596" spans="2:5" x14ac:dyDescent="0.25">
      <c r="B596" s="1"/>
      <c r="C596" s="3"/>
      <c r="D596" s="3"/>
      <c r="E596" s="3"/>
    </row>
    <row r="597" spans="2:5" x14ac:dyDescent="0.25">
      <c r="B597" s="1"/>
      <c r="C597" s="3"/>
      <c r="D597" s="3"/>
      <c r="E597" s="3"/>
    </row>
    <row r="598" spans="2:5" x14ac:dyDescent="0.25">
      <c r="B598" s="1"/>
      <c r="C598" s="3"/>
      <c r="D598" s="3"/>
      <c r="E598" s="3"/>
    </row>
    <row r="599" spans="2:5" x14ac:dyDescent="0.25">
      <c r="B599" s="1"/>
      <c r="C599" s="3"/>
      <c r="D599" s="3"/>
      <c r="E599" s="3"/>
    </row>
    <row r="600" spans="2:5" x14ac:dyDescent="0.25">
      <c r="B600" s="1"/>
      <c r="C600" s="3"/>
      <c r="D600" s="3"/>
      <c r="E600" s="3"/>
    </row>
    <row r="601" spans="2:5" x14ac:dyDescent="0.25">
      <c r="B601" s="1"/>
      <c r="C601" s="3"/>
      <c r="D601" s="3"/>
      <c r="E601" s="3"/>
    </row>
    <row r="602" spans="2:5" x14ac:dyDescent="0.25">
      <c r="B602" s="1"/>
      <c r="C602" s="3"/>
      <c r="D602" s="3"/>
      <c r="E602" s="3"/>
    </row>
  </sheetData>
  <sortState xmlns:xlrd2="http://schemas.microsoft.com/office/spreadsheetml/2017/richdata2" ref="B5:D122">
    <sortCondition ref="C5:C122"/>
  </sortState>
  <mergeCells count="5">
    <mergeCell ref="B1:L1"/>
    <mergeCell ref="B3:C3"/>
    <mergeCell ref="E3:F3"/>
    <mergeCell ref="H3:I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21"/>
  <sheetViews>
    <sheetView zoomScale="85" zoomScaleNormal="85" workbookViewId="0">
      <selection activeCell="E8" sqref="E8"/>
    </sheetView>
  </sheetViews>
  <sheetFormatPr defaultRowHeight="15" x14ac:dyDescent="0.25"/>
  <cols>
    <col min="1" max="1" width="9.140625" style="1"/>
    <col min="2" max="2" width="64.85546875" style="1" customWidth="1"/>
    <col min="3" max="3" width="9.140625" style="1"/>
    <col min="4" max="4" width="8.85546875" style="1" bestFit="1" customWidth="1"/>
    <col min="5" max="5" width="9.140625" style="1"/>
    <col min="6" max="6" width="6.7109375" style="1" bestFit="1" customWidth="1"/>
    <col min="7" max="7" width="5.7109375" style="1" bestFit="1" customWidth="1"/>
    <col min="8" max="8" width="9.7109375" style="3" bestFit="1" customWidth="1"/>
    <col min="9" max="9" width="13.7109375" style="3" bestFit="1" customWidth="1"/>
    <col min="10" max="10" width="12.28515625" style="1" bestFit="1" customWidth="1"/>
    <col min="11" max="11" width="9.28515625" style="1" bestFit="1" customWidth="1"/>
    <col min="12" max="12" width="12.42578125" style="1" bestFit="1" customWidth="1"/>
    <col min="13" max="13" width="10.28515625" style="1" bestFit="1" customWidth="1"/>
    <col min="14" max="14" width="15.42578125" style="1" bestFit="1" customWidth="1"/>
    <col min="15" max="15" width="9.28515625" style="1" bestFit="1" customWidth="1"/>
    <col min="16" max="16" width="11.85546875" style="1" customWidth="1"/>
    <col min="17" max="17" width="10.28515625" style="1" bestFit="1" customWidth="1"/>
    <col min="18" max="18" width="6.5703125" style="1" customWidth="1"/>
    <col min="19" max="19" width="15.42578125" style="1" bestFit="1" customWidth="1"/>
    <col min="20" max="20" width="11.28515625" style="1" bestFit="1" customWidth="1"/>
    <col min="21" max="21" width="9.140625" style="1"/>
    <col min="22" max="22" width="31.42578125" style="1" bestFit="1" customWidth="1"/>
    <col min="23" max="23" width="30.42578125" style="1" bestFit="1" customWidth="1"/>
    <col min="24" max="24" width="29.7109375" style="1" bestFit="1" customWidth="1"/>
    <col min="25" max="25" width="29.42578125" style="1" bestFit="1" customWidth="1"/>
    <col min="26" max="16384" width="9.140625" style="1"/>
  </cols>
  <sheetData>
    <row r="1" spans="1:25" ht="17.25" customHeight="1" x14ac:dyDescent="0.25">
      <c r="A1" s="1">
        <f>IF(COUNTIF($V$3:$Y$99, $B1)&lt;&gt;0, ROW($B1), 0)</f>
        <v>1</v>
      </c>
      <c r="B1" s="1" t="s">
        <v>0</v>
      </c>
      <c r="F1" s="5"/>
      <c r="G1" s="5"/>
      <c r="H1" s="5"/>
    </row>
    <row r="2" spans="1:25" ht="15.75" x14ac:dyDescent="0.25">
      <c r="A2" s="1">
        <f t="shared" ref="A2:A65" si="0">IF(COUNTIF($V$3:$Y$99, $B2)&lt;&gt;0, ROW($B2), 0)</f>
        <v>0</v>
      </c>
      <c r="B2" s="1" t="s">
        <v>1</v>
      </c>
      <c r="C2" s="1">
        <v>68</v>
      </c>
      <c r="F2" s="6" t="s">
        <v>196</v>
      </c>
      <c r="G2" s="6" t="s">
        <v>204</v>
      </c>
      <c r="H2" s="7" t="s">
        <v>216</v>
      </c>
      <c r="I2" s="7" t="s">
        <v>207</v>
      </c>
      <c r="J2" s="7" t="s">
        <v>208</v>
      </c>
      <c r="K2" s="7" t="s">
        <v>209</v>
      </c>
      <c r="L2" s="7" t="s">
        <v>210</v>
      </c>
      <c r="M2" s="6" t="s">
        <v>211</v>
      </c>
      <c r="N2" s="6" t="s">
        <v>212</v>
      </c>
      <c r="O2" s="6" t="s">
        <v>213</v>
      </c>
      <c r="P2" s="6" t="s">
        <v>214</v>
      </c>
      <c r="Q2" s="6" t="s">
        <v>215</v>
      </c>
      <c r="R2" s="2"/>
      <c r="S2" s="7" t="str">
        <f>I2</f>
        <v>Whisky Cask</v>
      </c>
      <c r="T2" s="2"/>
      <c r="U2" s="2"/>
      <c r="V2" s="6" t="s">
        <v>199</v>
      </c>
      <c r="W2" s="6" t="s">
        <v>200</v>
      </c>
      <c r="X2" s="6" t="s">
        <v>202</v>
      </c>
      <c r="Y2" s="6" t="s">
        <v>203</v>
      </c>
    </row>
    <row r="3" spans="1:25" x14ac:dyDescent="0.25">
      <c r="A3" s="1">
        <f t="shared" si="0"/>
        <v>0</v>
      </c>
      <c r="B3" s="1" t="s">
        <v>2</v>
      </c>
      <c r="C3" s="1">
        <v>3033.05</v>
      </c>
      <c r="F3" s="1">
        <v>1</v>
      </c>
      <c r="G3" s="1" t="str" cm="1">
        <f t="array" aca="1" ref="G3" ca="1">INDIRECT("B"&amp;$F3)</f>
        <v>PE</v>
      </c>
      <c r="H3" s="3" t="str" cm="1">
        <f t="array" aca="1" ref="H3" ca="1">_xlfn.IFS(COUNTIF($V$3:$V$18, G3)&lt;&gt;0, "S", COUNTIF($W$3:$W$99, G3)&lt;&gt;0, "E", COUNTIF($X$3, G3)&lt;&gt;0, "I", COUNTIF($Y$3:$Y$8, G3)&lt;&gt;0, "W")</f>
        <v>E</v>
      </c>
      <c r="I3" s="3">
        <f ca="1">SUMIF(OFFSET(INDIRECT("B"&amp;$F3), 4, 0):INDIRECT("B"&amp;$F4), "*"&amp;$I$2&amp;"*", OFFSET(INDIRECT("C"&amp;$F3), 4, 0):OFFSET(INDIRECT("C"&amp;$F4), -1, 0))</f>
        <v>1353.2</v>
      </c>
      <c r="J3" s="3">
        <f ca="1">SUMIF(OFFSET(INDIRECT("B"&amp;$F3), 4, 0):INDIRECT("B"&amp;$F4), "*"&amp;$J$2&amp;"*", OFFSET(INDIRECT("C"&amp;$F3), 4, 0):OFFSET(INDIRECT("C"&amp;$F4), -1, 0))</f>
        <v>328.8</v>
      </c>
      <c r="K3" s="3">
        <f ca="1">SUMIF(OFFSET(INDIRECT("B"&amp;$F3), 4, 0):INDIRECT("B"&amp;$F4), "*"&amp;$K$2&amp;"*", OFFSET(INDIRECT("C"&amp;$F3), 4, 0):OFFSET(INDIRECT("C"&amp;$F4), -1, 0))</f>
        <v>76.8</v>
      </c>
      <c r="L3" s="3">
        <f ca="1">SUMIF(OFFSET(INDIRECT("B"&amp;$F3), 4, 0):INDIRECT("B"&amp;$F4), "*"&amp;$L$2&amp;"*", OFFSET(INDIRECT("C"&amp;$F3), 4, 0):OFFSET(INDIRECT("C"&amp;$F4), -1, 0))</f>
        <v>54.8</v>
      </c>
      <c r="M3" s="3">
        <f ca="1">SUMIF(OFFSET(INDIRECT("B"&amp;$F3), 4, 0):INDIRECT("B"&amp;$F4), "*"&amp;$M$2&amp;"*", OFFSET(INDIRECT("C"&amp;$F3), 4, 0):OFFSET(INDIRECT("C"&amp;$F4), -1, 0))</f>
        <v>318</v>
      </c>
      <c r="N3" s="3">
        <f ca="1">SUMIF(OFFSET(INDIRECT("B"&amp;$F3), 4, 0):INDIRECT("B"&amp;$F4), "*"&amp;$N$2&amp;"*", OFFSET(INDIRECT("C"&amp;$F3), 4, 0):OFFSET(INDIRECT("C"&amp;$F4), -1, 0))</f>
        <v>28.75</v>
      </c>
      <c r="O3" s="3">
        <f ca="1">SUMIF(OFFSET(INDIRECT("B"&amp;$F3), 4, 0):INDIRECT("B"&amp;$F4), "*"&amp;$O$2&amp;"*", OFFSET(INDIRECT("C"&amp;$F3), 4, 0):OFFSET(INDIRECT("C"&amp;$F4), -1, 0))</f>
        <v>40</v>
      </c>
      <c r="P3" s="3">
        <f ca="1">SUMIF(OFFSET(INDIRECT("B"&amp;$F3), 4, 0):INDIRECT("B"&amp;$F4), "*"&amp;$P$2&amp;"*", OFFSET(INDIRECT("C"&amp;$F3), 4, 0):OFFSET(INDIRECT("C"&amp;$F4), -1, 0))</f>
        <v>237.14999999999998</v>
      </c>
      <c r="Q3" s="3">
        <f ca="1">SUM($I3:$P3)</f>
        <v>2437.5</v>
      </c>
      <c r="S3" s="1" t="s">
        <v>217</v>
      </c>
      <c r="T3" s="1" t="s">
        <v>4</v>
      </c>
      <c r="V3" s="1" t="s">
        <v>60</v>
      </c>
      <c r="W3" s="1" t="s">
        <v>148</v>
      </c>
      <c r="X3" s="1" t="s">
        <v>83</v>
      </c>
      <c r="Y3" s="1" t="s">
        <v>76</v>
      </c>
    </row>
    <row r="4" spans="1:25" x14ac:dyDescent="0.25">
      <c r="A4" s="1">
        <f t="shared" si="0"/>
        <v>0</v>
      </c>
      <c r="B4" s="1" t="s">
        <v>3</v>
      </c>
      <c r="C4" s="1" t="s">
        <v>4</v>
      </c>
      <c r="D4" s="1" t="s">
        <v>5</v>
      </c>
      <c r="F4" s="4" cm="1">
        <f t="array" aca="1" ref="F4" ca="1">INDEX(A2:OFFSET(A2, 100, 0),MATCH(TRUE,INDEX(A2:A50&lt;&gt;0,),0))</f>
        <v>23</v>
      </c>
      <c r="G4" s="1" t="str" cm="1">
        <f t="array" aca="1" ref="G4" ca="1">INDIRECT("B"&amp;$F4)</f>
        <v>KA</v>
      </c>
      <c r="H4" s="3" t="str" cm="1">
        <f t="array" aca="1" ref="H4" ca="1">_xlfn.IFS(COUNTIF($V$3:$V$18, G4)&lt;&gt;0, "S", COUNTIF($W$3:$W$99, G4)&lt;&gt;0, "E", COUNTIF($X$3, G4)&lt;&gt;0, "I", COUNTIF($Y$3:$Y$8, G4)&lt;&gt;0, "W")</f>
        <v>S</v>
      </c>
      <c r="I4" s="3">
        <f ca="1">SUMIF(OFFSET(INDIRECT("B"&amp;$F4), 4, 0):INDIRECT("B"&amp;$F5), "*"&amp;$I$2&amp;"*", OFFSET(INDIRECT("C"&amp;$F4), 4, 0):OFFSET(INDIRECT("C"&amp;$F5), -1, 0))</f>
        <v>433.2</v>
      </c>
      <c r="J4" s="3">
        <f ca="1">SUMIF(OFFSET(INDIRECT("B"&amp;$F4), 4, 0):INDIRECT("B"&amp;$F5), "*"&amp;$J$2&amp;"*", OFFSET(INDIRECT("C"&amp;$F4), 4, 0):OFFSET(INDIRECT("C"&amp;$F5), -1, 0))</f>
        <v>390.71999999999997</v>
      </c>
      <c r="K4" s="3">
        <f ca="1">SUMIF(OFFSET(INDIRECT("B"&amp;$F4), 4, 0):INDIRECT("B"&amp;$F5), "*"&amp;$K$2&amp;"*", OFFSET(INDIRECT("C"&amp;$F4), 4, 0):OFFSET(INDIRECT("C"&amp;$F5), -1, 0))</f>
        <v>157.19999999999999</v>
      </c>
      <c r="L4" s="3">
        <f ca="1">SUMIF(OFFSET(INDIRECT("B"&amp;$F4), 4, 0):INDIRECT("B"&amp;$F5), "*"&amp;$L$2&amp;"*", OFFSET(INDIRECT("C"&amp;$F4), 4, 0):OFFSET(INDIRECT("C"&amp;$F5), -1, 0))</f>
        <v>87.97</v>
      </c>
      <c r="M4" s="3">
        <f ca="1">SUMIF(OFFSET(INDIRECT("B"&amp;$F4), 4, 0):INDIRECT("B"&amp;$F5), "*"&amp;$M$2&amp;"*", OFFSET(INDIRECT("C"&amp;$F4), 4, 0):OFFSET(INDIRECT("C"&amp;$F5), -1, 0))</f>
        <v>372.79999999999995</v>
      </c>
      <c r="N4" s="3">
        <f ca="1">SUMIF(OFFSET(INDIRECT("B"&amp;$F4), 4, 0):INDIRECT("B"&amp;$F5), "*"&amp;$N$2&amp;"*", OFFSET(INDIRECT("C"&amp;$F4), 4, 0):OFFSET(INDIRECT("C"&amp;$F5), -1, 0))</f>
        <v>260.92</v>
      </c>
      <c r="O4" s="3">
        <f ca="1">SUMIF(OFFSET(INDIRECT("B"&amp;$F4), 4, 0):INDIRECT("B"&amp;$F5), "*"&amp;$O$2&amp;"*", OFFSET(INDIRECT("C"&amp;$F4), 4, 0):OFFSET(INDIRECT("C"&amp;$F5), -1, 0))</f>
        <v>230.4</v>
      </c>
      <c r="P4" s="3">
        <f ca="1">SUMIF(OFFSET(INDIRECT("B"&amp;$F4), 4, 0):INDIRECT("B"&amp;$F5), "*"&amp;$P$2&amp;"*", OFFSET(INDIRECT("C"&amp;$F4), 4, 0):OFFSET(INDIRECT("C"&amp;$F5), -1, 0))</f>
        <v>833.9</v>
      </c>
      <c r="Q4" s="3">
        <f t="shared" ref="Q4:Q67" ca="1" si="1">SUM($I4:$P4)</f>
        <v>2767.11</v>
      </c>
      <c r="S4" s="1" t="s">
        <v>197</v>
      </c>
      <c r="T4" s="3">
        <f ca="1">SUMIF($H$3:$H$120, "E", $I$3:$I$120)</f>
        <v>77607.810000000027</v>
      </c>
      <c r="V4" s="1" t="s">
        <v>153</v>
      </c>
      <c r="W4" s="1" t="s">
        <v>84</v>
      </c>
      <c r="Y4" s="1" t="s">
        <v>193</v>
      </c>
    </row>
    <row r="5" spans="1:25" x14ac:dyDescent="0.25">
      <c r="A5" s="1">
        <f t="shared" si="0"/>
        <v>0</v>
      </c>
      <c r="B5" s="1" t="s">
        <v>6</v>
      </c>
      <c r="C5" s="1">
        <v>164.4</v>
      </c>
      <c r="D5" s="1">
        <v>6</v>
      </c>
      <c r="F5" s="4" cm="1">
        <f t="array" aca="1" ref="F5" ca="1">INDEX(OFFSET(INDIRECT("A"&amp;F4), 1, 0):OFFSET(OFFSET(INDIRECT("A"&amp;F4), 1, 0), 100, 0),MATCH(TRUE,INDEX(OFFSET(INDIRECT("A"&amp;F4), 1, 0):OFFSET(OFFSET(INDIRECT("A"&amp;F4), 1, 0), 100, 0)&lt;&gt;0,),0))</f>
        <v>60</v>
      </c>
      <c r="G5" s="1" t="str" cm="1">
        <f t="array" aca="1" ref="G5" ca="1">INDIRECT("B"&amp;$F5)</f>
        <v>EC</v>
      </c>
      <c r="H5" s="3" t="str" cm="1">
        <f t="array" aca="1" ref="H5" ca="1">_xlfn.IFS(COUNTIF($V$3:$V$18, G5)&lt;&gt;0, "S", COUNTIF($W$3:$W$99, G5)&lt;&gt;0, "E", COUNTIF($X$3, G5)&lt;&gt;0, "I", COUNTIF($Y$3:$Y$8, G5)&lt;&gt;0, "W")</f>
        <v>E</v>
      </c>
      <c r="I5" s="3">
        <f ca="1">SUMIF(OFFSET(INDIRECT("B"&amp;$F5), 4, 0):INDIRECT("B"&amp;$F6), "*"&amp;$I$2&amp;"*", OFFSET(INDIRECT("C"&amp;$F5), 4, 0):OFFSET(INDIRECT("C"&amp;$F6), -1, 0))</f>
        <v>93.199999999999989</v>
      </c>
      <c r="J5" s="3">
        <f ca="1">SUMIF(OFFSET(INDIRECT("B"&amp;$F5), 4, 0):INDIRECT("B"&amp;$F6), "*"&amp;$J$2&amp;"*", OFFSET(INDIRECT("C"&amp;$F5), 4, 0):OFFSET(INDIRECT("C"&amp;$F6), -1, 0))</f>
        <v>0</v>
      </c>
      <c r="K5" s="3">
        <f ca="1">SUMIF(OFFSET(INDIRECT("B"&amp;$F5), 4, 0):INDIRECT("B"&amp;$F6), "*"&amp;$K$2&amp;"*", OFFSET(INDIRECT("C"&amp;$F5), 4, 0):OFFSET(INDIRECT("C"&amp;$F6), -1, 0))</f>
        <v>38.4</v>
      </c>
      <c r="L5" s="3">
        <f ca="1">SUMIF(OFFSET(INDIRECT("B"&amp;$F5), 4, 0):INDIRECT("B"&amp;$F6), "*"&amp;$L$2&amp;"*", OFFSET(INDIRECT("C"&amp;$F5), 4, 0):OFFSET(INDIRECT("C"&amp;$F6), -1, 0))</f>
        <v>341.6</v>
      </c>
      <c r="M5" s="3">
        <f ca="1">SUMIF(OFFSET(INDIRECT("B"&amp;$F5), 4, 0):INDIRECT("B"&amp;$F6), "*"&amp;$M$2&amp;"*", OFFSET(INDIRECT("C"&amp;$F5), 4, 0):OFFSET(INDIRECT("C"&amp;$F6), -1, 0))</f>
        <v>0</v>
      </c>
      <c r="N5" s="3">
        <f ca="1">SUMIF(OFFSET(INDIRECT("B"&amp;$F5), 4, 0):INDIRECT("B"&amp;$F6), "*"&amp;$N$2&amp;"*", OFFSET(INDIRECT("C"&amp;$F5), 4, 0):OFFSET(INDIRECT("C"&amp;$F6), -1, 0))</f>
        <v>0</v>
      </c>
      <c r="O5" s="3">
        <f ca="1">SUMIF(OFFSET(INDIRECT("B"&amp;$F5), 4, 0):INDIRECT("B"&amp;$F6), "*"&amp;$O$2&amp;"*", OFFSET(INDIRECT("C"&amp;$F5), 4, 0):OFFSET(INDIRECT("C"&amp;$F6), -1, 0))</f>
        <v>0</v>
      </c>
      <c r="P5" s="3">
        <f ca="1">SUMIF(OFFSET(INDIRECT("B"&amp;$F5), 4, 0):INDIRECT("B"&amp;$F6), "*"&amp;$P$2&amp;"*", OFFSET(INDIRECT("C"&amp;$F5), 4, 0):OFFSET(INDIRECT("C"&amp;$F6), -1, 0))</f>
        <v>54.8</v>
      </c>
      <c r="Q5" s="3">
        <f t="shared" ca="1" si="1"/>
        <v>528</v>
      </c>
      <c r="S5" s="1" t="s">
        <v>198</v>
      </c>
      <c r="T5" s="3">
        <f ca="1">SUMIF($H$3:$H$120, "S", $I$3:$I$120)</f>
        <v>22155.8</v>
      </c>
      <c r="V5" s="1" t="s">
        <v>97</v>
      </c>
      <c r="W5" s="1" t="s">
        <v>91</v>
      </c>
      <c r="Y5" s="1" t="s">
        <v>118</v>
      </c>
    </row>
    <row r="6" spans="1:25" x14ac:dyDescent="0.25">
      <c r="A6" s="1">
        <f t="shared" si="0"/>
        <v>0</v>
      </c>
      <c r="B6" s="1" t="s">
        <v>7</v>
      </c>
      <c r="C6" s="1">
        <v>54.8</v>
      </c>
      <c r="D6" s="1">
        <v>1</v>
      </c>
      <c r="F6" s="4" cm="1">
        <f t="array" aca="1" ref="F6" ca="1">INDEX(OFFSET(INDIRECT("A"&amp;F5), 1, 0):OFFSET(OFFSET(INDIRECT("A"&amp;F5), 1, 0), 100, 0),MATCH(TRUE,INDEX(OFFSET(INDIRECT("A"&amp;F5), 1, 0):OFFSET(OFFSET(INDIRECT("A"&amp;F5), 1, 0), 100, 0)&lt;&gt;0,),0))</f>
        <v>73</v>
      </c>
      <c r="G6" s="1" t="str" cm="1">
        <f t="array" aca="1" ref="G6" ca="1">INDIRECT("B"&amp;$F6)</f>
        <v>TD</v>
      </c>
      <c r="H6" s="3" t="str" cm="1">
        <f t="array" aca="1" ref="H6" ca="1">_xlfn.IFS(COUNTIF($V$3:$V$18, G6)&lt;&gt;0, "S", COUNTIF($W$3:$W$99, G6)&lt;&gt;0, "E", COUNTIF($X$3, G6)&lt;&gt;0, "I", COUNTIF($Y$3:$Y$8, G6)&lt;&gt;0, "W")</f>
        <v>S</v>
      </c>
      <c r="I6" s="3">
        <f ca="1">SUMIF(OFFSET(INDIRECT("B"&amp;$F6), 4, 0):INDIRECT("B"&amp;$F7), "*"&amp;$I$2&amp;"*", OFFSET(INDIRECT("C"&amp;$F6), 4, 0):OFFSET(INDIRECT("C"&amp;$F7), -1, 0))</f>
        <v>857.60000000000014</v>
      </c>
      <c r="J6" s="3">
        <f ca="1">SUMIF(OFFSET(INDIRECT("B"&amp;$F6), 4, 0):INDIRECT("B"&amp;$F7), "*"&amp;$J$2&amp;"*", OFFSET(INDIRECT("C"&amp;$F6), 4, 0):OFFSET(INDIRECT("C"&amp;$F7), -1, 0))</f>
        <v>237.36</v>
      </c>
      <c r="K6" s="3">
        <f ca="1">SUMIF(OFFSET(INDIRECT("B"&amp;$F6), 4, 0):INDIRECT("B"&amp;$F7), "*"&amp;$K$2&amp;"*", OFFSET(INDIRECT("C"&amp;$F6), 4, 0):OFFSET(INDIRECT("C"&amp;$F7), -1, 0))</f>
        <v>105.55</v>
      </c>
      <c r="L6" s="3">
        <f ca="1">SUMIF(OFFSET(INDIRECT("B"&amp;$F6), 4, 0):INDIRECT("B"&amp;$F7), "*"&amp;$L$2&amp;"*", OFFSET(INDIRECT("C"&amp;$F6), 4, 0):OFFSET(INDIRECT("C"&amp;$F7), -1, 0))</f>
        <v>174.1</v>
      </c>
      <c r="M6" s="3">
        <f ca="1">SUMIF(OFFSET(INDIRECT("B"&amp;$F6), 4, 0):INDIRECT("B"&amp;$F7), "*"&amp;$M$2&amp;"*", OFFSET(INDIRECT("C"&amp;$F6), 4, 0):OFFSET(INDIRECT("C"&amp;$F7), -1, 0))</f>
        <v>252</v>
      </c>
      <c r="N6" s="3">
        <f ca="1">SUMIF(OFFSET(INDIRECT("B"&amp;$F6), 4, 0):INDIRECT("B"&amp;$F7), "*"&amp;$N$2&amp;"*", OFFSET(INDIRECT("C"&amp;$F6), 4, 0):OFFSET(INDIRECT("C"&amp;$F7), -1, 0))</f>
        <v>232.17</v>
      </c>
      <c r="O6" s="3">
        <f ca="1">SUMIF(OFFSET(INDIRECT("B"&amp;$F6), 4, 0):INDIRECT("B"&amp;$F7), "*"&amp;$O$2&amp;"*", OFFSET(INDIRECT("C"&amp;$F6), 4, 0):OFFSET(INDIRECT("C"&amp;$F7), -1, 0))</f>
        <v>116.8</v>
      </c>
      <c r="P6" s="3">
        <f ca="1">SUMIF(OFFSET(INDIRECT("B"&amp;$F6), 4, 0):INDIRECT("B"&amp;$F7), "*"&amp;$P$2&amp;"*", OFFSET(INDIRECT("C"&amp;$F6), 4, 0):OFFSET(INDIRECT("C"&amp;$F7), -1, 0))</f>
        <v>855.4</v>
      </c>
      <c r="Q6" s="3">
        <f t="shared" ca="1" si="1"/>
        <v>2830.98</v>
      </c>
      <c r="S6" s="1" t="s">
        <v>205</v>
      </c>
      <c r="T6" s="3">
        <f ca="1">SUMIF($H$3:$H$120, "I", $I$3:$I$120)</f>
        <v>694</v>
      </c>
      <c r="V6" s="1" t="s">
        <v>77</v>
      </c>
      <c r="W6" s="1" t="s">
        <v>183</v>
      </c>
      <c r="Y6" s="1" t="s">
        <v>92</v>
      </c>
    </row>
    <row r="7" spans="1:25" x14ac:dyDescent="0.25">
      <c r="A7" s="1">
        <f t="shared" si="0"/>
        <v>0</v>
      </c>
      <c r="B7" s="1" t="s">
        <v>8</v>
      </c>
      <c r="C7" s="1">
        <v>602.79999999999995</v>
      </c>
      <c r="D7" s="1">
        <v>11</v>
      </c>
      <c r="F7" s="4" cm="1">
        <f t="array" aca="1" ref="F7" ca="1">INDEX(OFFSET(INDIRECT("A"&amp;F6), 1, 0):OFFSET(OFFSET(INDIRECT("A"&amp;F6), 1, 0), 100, 0),MATCH(TRUE,INDEX(OFFSET(INDIRECT("A"&amp;F6), 1, 0):OFFSET(OFFSET(INDIRECT("A"&amp;F6), 1, 0), 100, 0)&lt;&gt;0,),0))</f>
        <v>111</v>
      </c>
      <c r="G7" s="1" t="str" cm="1">
        <f t="array" aca="1" ref="G7" ca="1">INDIRECT("B"&amp;$F7)</f>
        <v>OX</v>
      </c>
      <c r="H7" s="3" t="str" cm="1">
        <f t="array" aca="1" ref="H7" ca="1">_xlfn.IFS(COUNTIF($V$3:$V$18, G7)&lt;&gt;0, "S", COUNTIF($W$3:$W$99, G7)&lt;&gt;0, "E", COUNTIF($X$3, G7)&lt;&gt;0, "I", COUNTIF($Y$3:$Y$8, G7)&lt;&gt;0, "W")</f>
        <v>E</v>
      </c>
      <c r="I7" s="3">
        <f ca="1">SUMIF(OFFSET(INDIRECT("B"&amp;$F7), 4, 0):INDIRECT("B"&amp;$F8), "*"&amp;$I$2&amp;"*", OFFSET(INDIRECT("C"&amp;$F7), 4, 0):OFFSET(INDIRECT("C"&amp;$F8), -1, 0))</f>
        <v>903.19999999999993</v>
      </c>
      <c r="J7" s="3">
        <f ca="1">SUMIF(OFFSET(INDIRECT("B"&amp;$F7), 4, 0):INDIRECT("B"&amp;$F8), "*"&amp;$J$2&amp;"*", OFFSET(INDIRECT("C"&amp;$F7), 4, 0):OFFSET(INDIRECT("C"&amp;$F8), -1, 0))</f>
        <v>149.6</v>
      </c>
      <c r="K7" s="3">
        <f ca="1">SUMIF(OFFSET(INDIRECT("B"&amp;$F7), 4, 0):INDIRECT("B"&amp;$F8), "*"&amp;$K$2&amp;"*", OFFSET(INDIRECT("C"&amp;$F7), 4, 0):OFFSET(INDIRECT("C"&amp;$F8), -1, 0))</f>
        <v>76.8</v>
      </c>
      <c r="L7" s="3">
        <f ca="1">SUMIF(OFFSET(INDIRECT("B"&amp;$F7), 4, 0):INDIRECT("B"&amp;$F8), "*"&amp;$L$2&amp;"*", OFFSET(INDIRECT("C"&amp;$F7), 4, 0):OFFSET(INDIRECT("C"&amp;$F8), -1, 0))</f>
        <v>76.8</v>
      </c>
      <c r="M7" s="3">
        <f ca="1">SUMIF(OFFSET(INDIRECT("B"&amp;$F7), 4, 0):INDIRECT("B"&amp;$F8), "*"&amp;$M$2&amp;"*", OFFSET(INDIRECT("C"&amp;$F7), 4, 0):OFFSET(INDIRECT("C"&amp;$F8), -1, 0))</f>
        <v>40</v>
      </c>
      <c r="N7" s="3">
        <f ca="1">SUMIF(OFFSET(INDIRECT("B"&amp;$F7), 4, 0):INDIRECT("B"&amp;$F8), "*"&amp;$N$2&amp;"*", OFFSET(INDIRECT("C"&amp;$F7), 4, 0):OFFSET(INDIRECT("C"&amp;$F8), -1, 0))</f>
        <v>28.75</v>
      </c>
      <c r="O7" s="3">
        <f ca="1">SUMIF(OFFSET(INDIRECT("B"&amp;$F7), 4, 0):INDIRECT("B"&amp;$F8), "*"&amp;$O$2&amp;"*", OFFSET(INDIRECT("C"&amp;$F7), 4, 0):OFFSET(INDIRECT("C"&amp;$F8), -1, 0))</f>
        <v>38.4</v>
      </c>
      <c r="P7" s="3">
        <f ca="1">SUMIF(OFFSET(INDIRECT("B"&amp;$F7), 4, 0):INDIRECT("B"&amp;$F8), "*"&amp;$P$2&amp;"*", OFFSET(INDIRECT("C"&amp;$F7), 4, 0):OFFSET(INDIRECT("C"&amp;$F8), -1, 0))</f>
        <v>331.95</v>
      </c>
      <c r="Q7" s="3">
        <f t="shared" ca="1" si="1"/>
        <v>1645.5</v>
      </c>
      <c r="S7" s="1" t="s">
        <v>206</v>
      </c>
      <c r="T7" s="3">
        <f ca="1">SUMIF($H$3:$H$120, "W", $I$3:$I$120)</f>
        <v>5700.2499999999991</v>
      </c>
      <c r="V7" s="1" t="s">
        <v>96</v>
      </c>
      <c r="W7" s="1" t="s">
        <v>110</v>
      </c>
      <c r="Y7" s="1" t="s">
        <v>169</v>
      </c>
    </row>
    <row r="8" spans="1:25" x14ac:dyDescent="0.25">
      <c r="A8" s="1">
        <f t="shared" si="0"/>
        <v>0</v>
      </c>
      <c r="B8" s="1" t="s">
        <v>9</v>
      </c>
      <c r="C8" s="1">
        <v>328.8</v>
      </c>
      <c r="D8" s="1">
        <v>6</v>
      </c>
      <c r="F8" s="4" cm="1">
        <f t="array" aca="1" ref="F8" ca="1">INDEX(OFFSET(INDIRECT("A"&amp;F7), 1, 0):OFFSET(OFFSET(INDIRECT("A"&amp;F7), 1, 0), 100, 0),MATCH(TRUE,INDEX(OFFSET(INDIRECT("A"&amp;F7), 1, 0):OFFSET(OFFSET(INDIRECT("A"&amp;F7), 1, 0), 100, 0)&lt;&gt;0,),0))</f>
        <v>135</v>
      </c>
      <c r="G8" s="1" t="str" cm="1">
        <f t="array" aca="1" ref="G8" ca="1">INDIRECT("B"&amp;$F8)</f>
        <v>AB</v>
      </c>
      <c r="H8" s="3" t="str" cm="1">
        <f t="array" aca="1" ref="H8" ca="1">_xlfn.IFS(COUNTIF($V$3:$V$18, G8)&lt;&gt;0, "S", COUNTIF($W$3:$W$99, G8)&lt;&gt;0, "E", COUNTIF($X$3, G8)&lt;&gt;0, "I", COUNTIF($Y$3:$Y$8, G8)&lt;&gt;0, "W")</f>
        <v>S</v>
      </c>
      <c r="I8" s="3">
        <f ca="1">SUMIF(OFFSET(INDIRECT("B"&amp;$F8), 4, 0):INDIRECT("B"&amp;$F9), "*"&amp;$I$2&amp;"*", OFFSET(INDIRECT("C"&amp;$F8), 4, 0):OFFSET(INDIRECT("C"&amp;$F9), -1, 0))</f>
        <v>2811.55</v>
      </c>
      <c r="J8" s="3">
        <f ca="1">SUMIF(OFFSET(INDIRECT("B"&amp;$F8), 4, 0):INDIRECT("B"&amp;$F9), "*"&amp;$J$2&amp;"*", OFFSET(INDIRECT("C"&amp;$F8), 4, 0):OFFSET(INDIRECT("C"&amp;$F9), -1, 0))</f>
        <v>1175.05</v>
      </c>
      <c r="K8" s="3">
        <f ca="1">SUMIF(OFFSET(INDIRECT("B"&amp;$F8), 4, 0):INDIRECT("B"&amp;$F9), "*"&amp;$K$2&amp;"*", OFFSET(INDIRECT("C"&amp;$F8), 4, 0):OFFSET(INDIRECT("C"&amp;$F9), -1, 0))</f>
        <v>143.94999999999999</v>
      </c>
      <c r="L8" s="3">
        <f ca="1">SUMIF(OFFSET(INDIRECT("B"&amp;$F8), 4, 0):INDIRECT("B"&amp;$F9), "*"&amp;$L$2&amp;"*", OFFSET(INDIRECT("C"&amp;$F8), 4, 0):OFFSET(INDIRECT("C"&amp;$F9), -1, 0))</f>
        <v>1012.4300000000001</v>
      </c>
      <c r="M8" s="3">
        <f ca="1">SUMIF(OFFSET(INDIRECT("B"&amp;$F8), 4, 0):INDIRECT("B"&amp;$F9), "*"&amp;$M$2&amp;"*", OFFSET(INDIRECT("C"&amp;$F8), 4, 0):OFFSET(INDIRECT("C"&amp;$F9), -1, 0))</f>
        <v>1153.2</v>
      </c>
      <c r="N8" s="3">
        <f ca="1">SUMIF(OFFSET(INDIRECT("B"&amp;$F8), 4, 0):INDIRECT("B"&amp;$F9), "*"&amp;$N$2&amp;"*", OFFSET(INDIRECT("C"&amp;$F8), 4, 0):OFFSET(INDIRECT("C"&amp;$F9), -1, 0))</f>
        <v>819.19</v>
      </c>
      <c r="O8" s="3">
        <f ca="1">SUMIF(OFFSET(INDIRECT("B"&amp;$F8), 4, 0):INDIRECT("B"&amp;$F9), "*"&amp;$O$2&amp;"*", OFFSET(INDIRECT("C"&amp;$F8), 4, 0):OFFSET(INDIRECT("C"&amp;$F9), -1, 0))</f>
        <v>528</v>
      </c>
      <c r="P8" s="3">
        <f ca="1">SUMIF(OFFSET(INDIRECT("B"&amp;$F8), 4, 0):INDIRECT("B"&amp;$F9), "*"&amp;$P$2&amp;"*", OFFSET(INDIRECT("C"&amp;$F8), 4, 0):OFFSET(INDIRECT("C"&amp;$F9), -1, 0))</f>
        <v>3577.2499999999995</v>
      </c>
      <c r="Q8" s="3">
        <f t="shared" ca="1" si="1"/>
        <v>11220.62</v>
      </c>
      <c r="S8" s="1" t="s">
        <v>215</v>
      </c>
      <c r="T8" s="3">
        <f ca="1">SUM(T4:T7)</f>
        <v>106157.86000000003</v>
      </c>
      <c r="V8" s="1" t="s">
        <v>73</v>
      </c>
      <c r="W8" s="1" t="s">
        <v>103</v>
      </c>
      <c r="Y8" s="1" t="s">
        <v>89</v>
      </c>
    </row>
    <row r="9" spans="1:25" x14ac:dyDescent="0.25">
      <c r="A9" s="1">
        <f t="shared" si="0"/>
        <v>0</v>
      </c>
      <c r="B9" s="1" t="s">
        <v>10</v>
      </c>
      <c r="C9" s="1">
        <v>76.8</v>
      </c>
      <c r="D9" s="1">
        <v>2</v>
      </c>
      <c r="F9" s="4" cm="1">
        <f t="array" aca="1" ref="F9" ca="1">INDEX(OFFSET(INDIRECT("A"&amp;F8), 1, 0):OFFSET(OFFSET(INDIRECT("A"&amp;F8), 1, 0), 100, 0),MATCH(TRUE,INDEX(OFFSET(INDIRECT("A"&amp;F8), 1, 0):OFFSET(OFFSET(INDIRECT("A"&amp;F8), 1, 0), 100, 0)&lt;&gt;0,),0))</f>
        <v>188</v>
      </c>
      <c r="G9" s="1" t="str" cm="1">
        <f t="array" aca="1" ref="G9" ca="1">INDIRECT("B"&amp;$F9)</f>
        <v>SE</v>
      </c>
      <c r="H9" s="3" t="str" cm="1">
        <f t="array" aca="1" ref="H9" ca="1">_xlfn.IFS(COUNTIF($V$3:$V$18, G9)&lt;&gt;0, "S", COUNTIF($W$3:$W$99, G9)&lt;&gt;0, "E", COUNTIF($X$3, G9)&lt;&gt;0, "I", COUNTIF($Y$3:$Y$8, G9)&lt;&gt;0, "W")</f>
        <v>E</v>
      </c>
      <c r="I9" s="3">
        <f ca="1">SUMIF(OFFSET(INDIRECT("B"&amp;$F9), 4, 0):INDIRECT("B"&amp;$F10), "*"&amp;$I$2&amp;"*", OFFSET(INDIRECT("C"&amp;$F9), 4, 0):OFFSET(INDIRECT("C"&amp;$F10), -1, 0))</f>
        <v>832.00000000000011</v>
      </c>
      <c r="J9" s="3">
        <f ca="1">SUMIF(OFFSET(INDIRECT("B"&amp;$F9), 4, 0):INDIRECT("B"&amp;$F10), "*"&amp;$J$2&amp;"*", OFFSET(INDIRECT("C"&amp;$F9), 4, 0):OFFSET(INDIRECT("C"&amp;$F10), -1, 0))</f>
        <v>89.36</v>
      </c>
      <c r="K9" s="3">
        <f ca="1">SUMIF(OFFSET(INDIRECT("B"&amp;$F9), 4, 0):INDIRECT("B"&amp;$F10), "*"&amp;$K$2&amp;"*", OFFSET(INDIRECT("C"&amp;$F9), 4, 0):OFFSET(INDIRECT("C"&amp;$F10), -1, 0))</f>
        <v>40</v>
      </c>
      <c r="L9" s="3">
        <f ca="1">SUMIF(OFFSET(INDIRECT("B"&amp;$F9), 4, 0):INDIRECT("B"&amp;$F10), "*"&amp;$L$2&amp;"*", OFFSET(INDIRECT("C"&amp;$F9), 4, 0):OFFSET(INDIRECT("C"&amp;$F10), -1, 0))</f>
        <v>286.79999999999995</v>
      </c>
      <c r="M9" s="3">
        <f ca="1">SUMIF(OFFSET(INDIRECT("B"&amp;$F9), 4, 0):INDIRECT("B"&amp;$F10), "*"&amp;$M$2&amp;"*", OFFSET(INDIRECT("C"&amp;$F9), 4, 0):OFFSET(INDIRECT("C"&amp;$F10), -1, 0))</f>
        <v>38.4</v>
      </c>
      <c r="N9" s="3">
        <f ca="1">SUMIF(OFFSET(INDIRECT("B"&amp;$F9), 4, 0):INDIRECT("B"&amp;$F10), "*"&amp;$N$2&amp;"*", OFFSET(INDIRECT("C"&amp;$F9), 4, 0):OFFSET(INDIRECT("C"&amp;$F10), -1, 0))</f>
        <v>63.31</v>
      </c>
      <c r="O9" s="3">
        <f ca="1">SUMIF(OFFSET(INDIRECT("B"&amp;$F9), 4, 0):INDIRECT("B"&amp;$F10), "*"&amp;$O$2&amp;"*", OFFSET(INDIRECT("C"&amp;$F9), 4, 0):OFFSET(INDIRECT("C"&amp;$F10), -1, 0))</f>
        <v>0</v>
      </c>
      <c r="P9" s="3">
        <f ca="1">SUMIF(OFFSET(INDIRECT("B"&amp;$F9), 4, 0):INDIRECT("B"&amp;$F10), "*"&amp;$P$2&amp;"*", OFFSET(INDIRECT("C"&amp;$F9), 4, 0):OFFSET(INDIRECT("C"&amp;$F10), -1, 0))</f>
        <v>76.8</v>
      </c>
      <c r="Q9" s="3">
        <f t="shared" ca="1" si="1"/>
        <v>1426.67</v>
      </c>
      <c r="V9" s="1" t="s">
        <v>184</v>
      </c>
      <c r="W9" s="1" t="s">
        <v>152</v>
      </c>
    </row>
    <row r="10" spans="1:25" ht="15.75" x14ac:dyDescent="0.25">
      <c r="A10" s="1">
        <f t="shared" si="0"/>
        <v>0</v>
      </c>
      <c r="B10" s="1" t="s">
        <v>11</v>
      </c>
      <c r="C10" s="1">
        <v>40</v>
      </c>
      <c r="D10" s="1">
        <v>1</v>
      </c>
      <c r="F10" s="4" cm="1">
        <f t="array" aca="1" ref="F10" ca="1">INDEX(OFFSET(INDIRECT("A"&amp;F9), 1, 0):OFFSET(OFFSET(INDIRECT("A"&amp;F9), 1, 0), 100, 0),MATCH(TRUE,INDEX(OFFSET(INDIRECT("A"&amp;F9), 1, 0):OFFSET(OFFSET(INDIRECT("A"&amp;F9), 1, 0), 100, 0)&lt;&gt;0,),0))</f>
        <v>212</v>
      </c>
      <c r="G10" s="1" t="str" cm="1">
        <f t="array" aca="1" ref="G10" ca="1">INDIRECT("B"&amp;$F10)</f>
        <v>L</v>
      </c>
      <c r="H10" s="3" t="str" cm="1">
        <f t="array" aca="1" ref="H10" ca="1">_xlfn.IFS(COUNTIF($V$3:$V$18, G10)&lt;&gt;0, "S", COUNTIF($W$3:$W$99, G10)&lt;&gt;0, "E", COUNTIF($X$3, G10)&lt;&gt;0, "I", COUNTIF($Y$3:$Y$8, G10)&lt;&gt;0, "W")</f>
        <v>E</v>
      </c>
      <c r="I10" s="3">
        <f ca="1">SUMIF(OFFSET(INDIRECT("B"&amp;$F10), 4, 0):INDIRECT("B"&amp;$F11), "*"&amp;$I$2&amp;"*", OFFSET(INDIRECT("C"&amp;$F10), 4, 0):OFFSET(INDIRECT("C"&amp;$F11), -1, 0))</f>
        <v>1231.1999999999998</v>
      </c>
      <c r="J10" s="3">
        <f ca="1">SUMIF(OFFSET(INDIRECT("B"&amp;$F10), 4, 0):INDIRECT("B"&amp;$F11), "*"&amp;$J$2&amp;"*", OFFSET(INDIRECT("C"&amp;$F10), 4, 0):OFFSET(INDIRECT("C"&amp;$F11), -1, 0))</f>
        <v>0</v>
      </c>
      <c r="K10" s="3">
        <f ca="1">SUMIF(OFFSET(INDIRECT("B"&amp;$F10), 4, 0):INDIRECT("B"&amp;$F11), "*"&amp;$K$2&amp;"*", OFFSET(INDIRECT("C"&amp;$F10), 4, 0):OFFSET(INDIRECT("C"&amp;$F11), -1, 0))</f>
        <v>0</v>
      </c>
      <c r="L10" s="3">
        <f ca="1">SUMIF(OFFSET(INDIRECT("B"&amp;$F10), 4, 0):INDIRECT("B"&amp;$F11), "*"&amp;$L$2&amp;"*", OFFSET(INDIRECT("C"&amp;$F10), 4, 0):OFFSET(INDIRECT("C"&amp;$F11), -1, 0))</f>
        <v>54.39</v>
      </c>
      <c r="M10" s="3">
        <f ca="1">SUMIF(OFFSET(INDIRECT("B"&amp;$F10), 4, 0):INDIRECT("B"&amp;$F11), "*"&amp;$M$2&amp;"*", OFFSET(INDIRECT("C"&amp;$F10), 4, 0):OFFSET(INDIRECT("C"&amp;$F11), -1, 0))</f>
        <v>40</v>
      </c>
      <c r="N10" s="3">
        <f ca="1">SUMIF(OFFSET(INDIRECT("B"&amp;$F10), 4, 0):INDIRECT("B"&amp;$F11), "*"&amp;$N$2&amp;"*", OFFSET(INDIRECT("C"&amp;$F10), 4, 0):OFFSET(INDIRECT("C"&amp;$F11), -1, 0))</f>
        <v>0</v>
      </c>
      <c r="O10" s="3">
        <f ca="1">SUMIF(OFFSET(INDIRECT("B"&amp;$F10), 4, 0):INDIRECT("B"&amp;$F11), "*"&amp;$O$2&amp;"*", OFFSET(INDIRECT("C"&amp;$F10), 4, 0):OFFSET(INDIRECT("C"&amp;$F11), -1, 0))</f>
        <v>0</v>
      </c>
      <c r="P10" s="3">
        <f ca="1">SUMIF(OFFSET(INDIRECT("B"&amp;$F10), 4, 0):INDIRECT("B"&amp;$F11), "*"&amp;$P$2&amp;"*", OFFSET(INDIRECT("C"&amp;$F10), 4, 0):OFFSET(INDIRECT("C"&amp;$F11), -1, 0))</f>
        <v>416.35</v>
      </c>
      <c r="Q10" s="3">
        <f t="shared" ca="1" si="1"/>
        <v>1741.94</v>
      </c>
      <c r="S10" s="7" t="str">
        <f>J2</f>
        <v>Strawberry</v>
      </c>
      <c r="V10" s="1" t="s">
        <v>86</v>
      </c>
      <c r="W10" s="1" t="s">
        <v>104</v>
      </c>
    </row>
    <row r="11" spans="1:25" x14ac:dyDescent="0.25">
      <c r="A11" s="1">
        <f t="shared" si="0"/>
        <v>0</v>
      </c>
      <c r="B11" s="1" t="s">
        <v>12</v>
      </c>
      <c r="C11" s="1">
        <v>140</v>
      </c>
      <c r="D11" s="1">
        <v>4</v>
      </c>
      <c r="F11" s="4" cm="1">
        <f t="array" aca="1" ref="F11" ca="1">INDEX(OFFSET(INDIRECT("A"&amp;F10), 1, 0):OFFSET(OFFSET(INDIRECT("A"&amp;F10), 1, 0), 100, 0),MATCH(TRUE,INDEX(OFFSET(INDIRECT("A"&amp;F10), 1, 0):OFFSET(OFFSET(INDIRECT("A"&amp;F10), 1, 0), 100, 0)&lt;&gt;0,),0))</f>
        <v>235</v>
      </c>
      <c r="G11" s="1" t="str" cm="1">
        <f t="array" aca="1" ref="G11" ca="1">INDIRECT("B"&amp;$F11)</f>
        <v>G</v>
      </c>
      <c r="H11" s="3" t="str" cm="1">
        <f t="array" aca="1" ref="H11" ca="1">_xlfn.IFS(COUNTIF($V$3:$V$18, G11)&lt;&gt;0, "S", COUNTIF($W$3:$W$99, G11)&lt;&gt;0, "E", COUNTIF($X$3, G11)&lt;&gt;0, "I", COUNTIF($Y$3:$Y$8, G11)&lt;&gt;0, "W")</f>
        <v>S</v>
      </c>
      <c r="I11" s="3">
        <f ca="1">SUMIF(OFFSET(INDIRECT("B"&amp;$F11), 4, 0):INDIRECT("B"&amp;$F12), "*"&amp;$I$2&amp;"*", OFFSET(INDIRECT("C"&amp;$F11), 4, 0):OFFSET(INDIRECT("C"&amp;$F12), -1, 0))</f>
        <v>2356.7499999999995</v>
      </c>
      <c r="J11" s="3">
        <f ca="1">SUMIF(OFFSET(INDIRECT("B"&amp;$F11), 4, 0):INDIRECT("B"&amp;$F12), "*"&amp;$J$2&amp;"*", OFFSET(INDIRECT("C"&amp;$F11), 4, 0):OFFSET(INDIRECT("C"&amp;$F12), -1, 0))</f>
        <v>407.35999999999996</v>
      </c>
      <c r="K11" s="3">
        <f ca="1">SUMIF(OFFSET(INDIRECT("B"&amp;$F11), 4, 0):INDIRECT("B"&amp;$F12), "*"&amp;$K$2&amp;"*", OFFSET(INDIRECT("C"&amp;$F11), 4, 0):OFFSET(INDIRECT("C"&amp;$F12), -1, 0))</f>
        <v>469.15000000000003</v>
      </c>
      <c r="L11" s="3">
        <f ca="1">SUMIF(OFFSET(INDIRECT("B"&amp;$F11), 4, 0):INDIRECT("B"&amp;$F12), "*"&amp;$L$2&amp;"*", OFFSET(INDIRECT("C"&amp;$F11), 4, 0):OFFSET(INDIRECT("C"&amp;$F12), -1, 0))</f>
        <v>817.5100000000001</v>
      </c>
      <c r="M11" s="3">
        <f ca="1">SUMIF(OFFSET(INDIRECT("B"&amp;$F11), 4, 0):INDIRECT("B"&amp;$F12), "*"&amp;$M$2&amp;"*", OFFSET(INDIRECT("C"&amp;$F11), 4, 0):OFFSET(INDIRECT("C"&amp;$F12), -1, 0))</f>
        <v>802.40000000000009</v>
      </c>
      <c r="N11" s="3">
        <f ca="1">SUMIF(OFFSET(INDIRECT("B"&amp;$F11), 4, 0):INDIRECT("B"&amp;$F12), "*"&amp;$N$2&amp;"*", OFFSET(INDIRECT("C"&amp;$F11), 4, 0):OFFSET(INDIRECT("C"&amp;$F12), -1, 0))</f>
        <v>322.26</v>
      </c>
      <c r="O11" s="3">
        <f ca="1">SUMIF(OFFSET(INDIRECT("B"&amp;$F11), 4, 0):INDIRECT("B"&amp;$F12), "*"&amp;$O$2&amp;"*", OFFSET(INDIRECT("C"&amp;$F11), 4, 0):OFFSET(INDIRECT("C"&amp;$F12), -1, 0))</f>
        <v>230.4</v>
      </c>
      <c r="P11" s="3">
        <f ca="1">SUMIF(OFFSET(INDIRECT("B"&amp;$F11), 4, 0):INDIRECT("B"&amp;$F12), "*"&amp;$P$2&amp;"*", OFFSET(INDIRECT("C"&amp;$F11), 4, 0):OFFSET(INDIRECT("C"&amp;$F12), -1, 0))</f>
        <v>2691.6</v>
      </c>
      <c r="Q11" s="3">
        <f t="shared" ca="1" si="1"/>
        <v>8097.43</v>
      </c>
      <c r="S11" s="1" t="s">
        <v>217</v>
      </c>
      <c r="T11" s="1" t="s">
        <v>4</v>
      </c>
      <c r="V11" s="1" t="s">
        <v>24</v>
      </c>
      <c r="W11" s="1" t="s">
        <v>126</v>
      </c>
    </row>
    <row r="12" spans="1:25" x14ac:dyDescent="0.25">
      <c r="A12" s="1">
        <f t="shared" si="0"/>
        <v>0</v>
      </c>
      <c r="B12" s="1" t="s">
        <v>13</v>
      </c>
      <c r="C12" s="1">
        <v>153.6</v>
      </c>
      <c r="D12" s="1">
        <v>4</v>
      </c>
      <c r="F12" s="4" cm="1">
        <f t="array" aca="1" ref="F12" ca="1">INDEX(OFFSET(INDIRECT("A"&amp;F11), 1, 0):OFFSET(OFFSET(INDIRECT("A"&amp;F11), 1, 0), 100, 0),MATCH(TRUE,INDEX(OFFSET(INDIRECT("A"&amp;F11), 1, 0):OFFSET(OFFSET(INDIRECT("A"&amp;F11), 1, 0), 100, 0)&lt;&gt;0,),0))</f>
        <v>284</v>
      </c>
      <c r="G12" s="1" t="str" cm="1">
        <f t="array" aca="1" ref="G12" ca="1">INDIRECT("B"&amp;$F12)</f>
        <v>CB</v>
      </c>
      <c r="H12" s="3" t="str" cm="1">
        <f t="array" aca="1" ref="H12" ca="1">_xlfn.IFS(COUNTIF($V$3:$V$18, G12)&lt;&gt;0, "S", COUNTIF($W$3:$W$99, G12)&lt;&gt;0, "E", COUNTIF($X$3, G12)&lt;&gt;0, "I", COUNTIF($Y$3:$Y$8, G12)&lt;&gt;0, "W")</f>
        <v>E</v>
      </c>
      <c r="I12" s="3">
        <f ca="1">SUMIF(OFFSET(INDIRECT("B"&amp;$F12), 4, 0):INDIRECT("B"&amp;$F13), "*"&amp;$I$2&amp;"*", OFFSET(INDIRECT("C"&amp;$F12), 4, 0):OFFSET(INDIRECT("C"&amp;$F13), -1, 0))</f>
        <v>506.8</v>
      </c>
      <c r="J12" s="3">
        <f ca="1">SUMIF(OFFSET(INDIRECT("B"&amp;$F12), 4, 0):INDIRECT("B"&amp;$F13), "*"&amp;$J$2&amp;"*", OFFSET(INDIRECT("C"&amp;$F12), 4, 0):OFFSET(INDIRECT("C"&amp;$F13), -1, 0))</f>
        <v>38.4</v>
      </c>
      <c r="K12" s="3">
        <f ca="1">SUMIF(OFFSET(INDIRECT("B"&amp;$F12), 4, 0):INDIRECT("B"&amp;$F13), "*"&amp;$K$2&amp;"*", OFFSET(INDIRECT("C"&amp;$F12), 4, 0):OFFSET(INDIRECT("C"&amp;$F13), -1, 0))</f>
        <v>0</v>
      </c>
      <c r="L12" s="3">
        <f ca="1">SUMIF(OFFSET(INDIRECT("B"&amp;$F12), 4, 0):INDIRECT("B"&amp;$F13), "*"&amp;$L$2&amp;"*", OFFSET(INDIRECT("C"&amp;$F12), 4, 0):OFFSET(INDIRECT("C"&amp;$F13), -1, 0))</f>
        <v>78.400000000000006</v>
      </c>
      <c r="M12" s="3">
        <f ca="1">SUMIF(OFFSET(INDIRECT("B"&amp;$F12), 4, 0):INDIRECT("B"&amp;$F13), "*"&amp;$M$2&amp;"*", OFFSET(INDIRECT("C"&amp;$F12), 4, 0):OFFSET(INDIRECT("C"&amp;$F13), -1, 0))</f>
        <v>299.60000000000002</v>
      </c>
      <c r="N12" s="3">
        <f ca="1">SUMIF(OFFSET(INDIRECT("B"&amp;$F12), 4, 0):INDIRECT("B"&amp;$F13), "*"&amp;$N$2&amp;"*", OFFSET(INDIRECT("C"&amp;$F12), 4, 0):OFFSET(INDIRECT("C"&amp;$F13), -1, 0))</f>
        <v>67.150000000000006</v>
      </c>
      <c r="O12" s="3">
        <f ca="1">SUMIF(OFFSET(INDIRECT("B"&amp;$F12), 4, 0):INDIRECT("B"&amp;$F13), "*"&amp;$O$2&amp;"*", OFFSET(INDIRECT("C"&amp;$F12), 4, 0):OFFSET(INDIRECT("C"&amp;$F13), -1, 0))</f>
        <v>115.2</v>
      </c>
      <c r="P12" s="3">
        <f ca="1">SUMIF(OFFSET(INDIRECT("B"&amp;$F12), 4, 0):INDIRECT("B"&amp;$F13), "*"&amp;$P$2&amp;"*", OFFSET(INDIRECT("C"&amp;$F12), 4, 0):OFFSET(INDIRECT("C"&amp;$F13), -1, 0))</f>
        <v>313.95</v>
      </c>
      <c r="Q12" s="3">
        <f t="shared" ca="1" si="1"/>
        <v>1419.5</v>
      </c>
      <c r="S12" s="1" t="s">
        <v>197</v>
      </c>
      <c r="T12" s="3">
        <f ca="1">SUMIF($H$3:$H$120, "E", $J$3:$J$120)</f>
        <v>4733.07</v>
      </c>
      <c r="V12" s="1" t="s">
        <v>158</v>
      </c>
      <c r="W12" s="1" t="s">
        <v>99</v>
      </c>
    </row>
    <row r="13" spans="1:25" x14ac:dyDescent="0.25">
      <c r="A13" s="1">
        <f t="shared" si="0"/>
        <v>0</v>
      </c>
      <c r="B13" s="1" t="s">
        <v>14</v>
      </c>
      <c r="C13" s="1">
        <v>28.75</v>
      </c>
      <c r="D13" s="1">
        <v>1</v>
      </c>
      <c r="F13" s="4" cm="1">
        <f t="array" aca="1" ref="F13" ca="1">INDEX(OFFSET(INDIRECT("A"&amp;F12), 1, 0):OFFSET(OFFSET(INDIRECT("A"&amp;F12), 1, 0), 100, 0),MATCH(TRUE,INDEX(OFFSET(INDIRECT("A"&amp;F12), 1, 0):OFFSET(OFFSET(INDIRECT("A"&amp;F12), 1, 0), 100, 0)&lt;&gt;0,),0))</f>
        <v>309</v>
      </c>
      <c r="G13" s="1" t="str" cm="1">
        <f t="array" aca="1" ref="G13" ca="1">INDIRECT("B"&amp;$F13)</f>
        <v>CF</v>
      </c>
      <c r="H13" s="3" t="str" cm="1">
        <f t="array" aca="1" ref="H13" ca="1">_xlfn.IFS(COUNTIF($V$3:$V$18, G13)&lt;&gt;0, "S", COUNTIF($W$3:$W$99, G13)&lt;&gt;0, "E", COUNTIF($X$3, G13)&lt;&gt;0, "I", COUNTIF($Y$3:$Y$8, G13)&lt;&gt;0, "W")</f>
        <v>W</v>
      </c>
      <c r="I13" s="3">
        <f ca="1">SUMIF(OFFSET(INDIRECT("B"&amp;$F13), 4, 0):INDIRECT("B"&amp;$F14), "*"&amp;$I$2&amp;"*", OFFSET(INDIRECT("C"&amp;$F13), 4, 0):OFFSET(INDIRECT("C"&amp;$F14), -1, 0))</f>
        <v>1493.85</v>
      </c>
      <c r="J13" s="3">
        <f ca="1">SUMIF(OFFSET(INDIRECT("B"&amp;$F13), 4, 0):INDIRECT("B"&amp;$F14), "*"&amp;$J$2&amp;"*", OFFSET(INDIRECT("C"&amp;$F13), 4, 0):OFFSET(INDIRECT("C"&amp;$F14), -1, 0))</f>
        <v>166.75</v>
      </c>
      <c r="K13" s="3">
        <f ca="1">SUMIF(OFFSET(INDIRECT("B"&amp;$F13), 4, 0):INDIRECT("B"&amp;$F14), "*"&amp;$K$2&amp;"*", OFFSET(INDIRECT("C"&amp;$F13), 4, 0):OFFSET(INDIRECT("C"&amp;$F14), -1, 0))</f>
        <v>54.8</v>
      </c>
      <c r="L13" s="3">
        <f ca="1">SUMIF(OFFSET(INDIRECT("B"&amp;$F13), 4, 0):INDIRECT("B"&amp;$F14), "*"&amp;$L$2&amp;"*", OFFSET(INDIRECT("C"&amp;$F13), 4, 0):OFFSET(INDIRECT("C"&amp;$F14), -1, 0))</f>
        <v>430.64</v>
      </c>
      <c r="M13" s="3">
        <f ca="1">SUMIF(OFFSET(INDIRECT("B"&amp;$F13), 4, 0):INDIRECT("B"&amp;$F14), "*"&amp;$M$2&amp;"*", OFFSET(INDIRECT("C"&amp;$F13), 4, 0):OFFSET(INDIRECT("C"&amp;$F14), -1, 0))</f>
        <v>38.4</v>
      </c>
      <c r="N13" s="3">
        <f ca="1">SUMIF(OFFSET(INDIRECT("B"&amp;$F13), 4, 0):INDIRECT("B"&amp;$F14), "*"&amp;$N$2&amp;"*", OFFSET(INDIRECT("C"&amp;$F13), 4, 0):OFFSET(INDIRECT("C"&amp;$F14), -1, 0))</f>
        <v>28.75</v>
      </c>
      <c r="O13" s="3">
        <f ca="1">SUMIF(OFFSET(INDIRECT("B"&amp;$F13), 4, 0):INDIRECT("B"&amp;$F14), "*"&amp;$O$2&amp;"*", OFFSET(INDIRECT("C"&amp;$F13), 4, 0):OFFSET(INDIRECT("C"&amp;$F14), -1, 0))</f>
        <v>38.4</v>
      </c>
      <c r="P13" s="3">
        <f ca="1">SUMIF(OFFSET(INDIRECT("B"&amp;$F13), 4, 0):INDIRECT("B"&amp;$F14), "*"&amp;$P$2&amp;"*", OFFSET(INDIRECT("C"&amp;$F13), 4, 0):OFFSET(INDIRECT("C"&amp;$F14), -1, 0))</f>
        <v>805</v>
      </c>
      <c r="Q13" s="3">
        <f t="shared" ca="1" si="1"/>
        <v>3056.59</v>
      </c>
      <c r="S13" s="1" t="s">
        <v>198</v>
      </c>
      <c r="T13" s="3">
        <f ca="1">SUMIF($H$3:$H$120, "S", $J$3:$J$120)</f>
        <v>5786.3099999999995</v>
      </c>
      <c r="V13" s="1" t="s">
        <v>93</v>
      </c>
      <c r="W13" s="1" t="s">
        <v>120</v>
      </c>
    </row>
    <row r="14" spans="1:25" x14ac:dyDescent="0.25">
      <c r="A14" s="1">
        <f t="shared" si="0"/>
        <v>0</v>
      </c>
      <c r="B14" s="1" t="s">
        <v>15</v>
      </c>
      <c r="C14" s="1">
        <v>408</v>
      </c>
      <c r="D14" s="1">
        <v>6</v>
      </c>
      <c r="F14" s="4" cm="1">
        <f t="array" aca="1" ref="F14" ca="1">INDEX(OFFSET(INDIRECT("A"&amp;F13), 1, 0):OFFSET(OFFSET(INDIRECT("A"&amp;F13), 1, 0), 100, 0),MATCH(TRUE,INDEX(OFFSET(INDIRECT("A"&amp;F13), 1, 0):OFFSET(OFFSET(INDIRECT("A"&amp;F13), 1, 0), 100, 0)&lt;&gt;0,),0))</f>
        <v>339</v>
      </c>
      <c r="G14" s="1" t="str" cm="1">
        <f t="array" aca="1" ref="G14" ca="1">INDIRECT("B"&amp;$F14)</f>
        <v>EH</v>
      </c>
      <c r="H14" s="3" t="str" cm="1">
        <f t="array" aca="1" ref="H14" ca="1">_xlfn.IFS(COUNTIF($V$3:$V$18, G14)&lt;&gt;0, "S", COUNTIF($W$3:$W$99, G14)&lt;&gt;0, "E", COUNTIF($X$3, G14)&lt;&gt;0, "I", COUNTIF($Y$3:$Y$8, G14)&lt;&gt;0, "W")</f>
        <v>S</v>
      </c>
      <c r="I14" s="3">
        <f ca="1">SUMIF(OFFSET(INDIRECT("B"&amp;$F14), 4, 0):INDIRECT("B"&amp;$F15), "*"&amp;$I$2&amp;"*", OFFSET(INDIRECT("C"&amp;$F14), 4, 0):OFFSET(INDIRECT("C"&amp;$F15), -1, 0))</f>
        <v>5327.2</v>
      </c>
      <c r="J14" s="3">
        <f ca="1">SUMIF(OFFSET(INDIRECT("B"&amp;$F14), 4, 0):INDIRECT("B"&amp;$F15), "*"&amp;$J$2&amp;"*", OFFSET(INDIRECT("C"&amp;$F14), 4, 0):OFFSET(INDIRECT("C"&amp;$F15), -1, 0))</f>
        <v>1291.6799999999998</v>
      </c>
      <c r="K14" s="3">
        <f ca="1">SUMIF(OFFSET(INDIRECT("B"&amp;$F14), 4, 0):INDIRECT("B"&amp;$F15), "*"&amp;$K$2&amp;"*", OFFSET(INDIRECT("C"&amp;$F14), 4, 0):OFFSET(INDIRECT("C"&amp;$F15), -1, 0))</f>
        <v>1570.1699999999998</v>
      </c>
      <c r="L14" s="3">
        <f ca="1">SUMIF(OFFSET(INDIRECT("B"&amp;$F14), 4, 0):INDIRECT("B"&amp;$F15), "*"&amp;$L$2&amp;"*", OFFSET(INDIRECT("C"&amp;$F14), 4, 0):OFFSET(INDIRECT("C"&amp;$F15), -1, 0))</f>
        <v>2952.98</v>
      </c>
      <c r="M14" s="3">
        <f ca="1">SUMIF(OFFSET(INDIRECT("B"&amp;$F14), 4, 0):INDIRECT("B"&amp;$F15), "*"&amp;$M$2&amp;"*", OFFSET(INDIRECT("C"&amp;$F14), 4, 0):OFFSET(INDIRECT("C"&amp;$F15), -1, 0))</f>
        <v>3640.7999999999997</v>
      </c>
      <c r="N14" s="3">
        <f ca="1">SUMIF(OFFSET(INDIRECT("B"&amp;$F14), 4, 0):INDIRECT("B"&amp;$F15), "*"&amp;$N$2&amp;"*", OFFSET(INDIRECT("C"&amp;$F14), 4, 0):OFFSET(INDIRECT("C"&amp;$F15), -1, 0))</f>
        <v>1300.76</v>
      </c>
      <c r="O14" s="3">
        <f ca="1">SUMIF(OFFSET(INDIRECT("B"&amp;$F14), 4, 0):INDIRECT("B"&amp;$F15), "*"&amp;$O$2&amp;"*", OFFSET(INDIRECT("C"&amp;$F14), 4, 0):OFFSET(INDIRECT("C"&amp;$F15), -1, 0))</f>
        <v>617.6</v>
      </c>
      <c r="P14" s="3">
        <f ca="1">SUMIF(OFFSET(INDIRECT("B"&amp;$F14), 4, 0):INDIRECT("B"&amp;$F15), "*"&amp;$P$2&amp;"*", OFFSET(INDIRECT("C"&amp;$F14), 4, 0):OFFSET(INDIRECT("C"&amp;$F15), -1, 0))</f>
        <v>8093.19</v>
      </c>
      <c r="Q14" s="3">
        <f t="shared" ca="1" si="1"/>
        <v>24794.379999999997</v>
      </c>
      <c r="S14" s="1" t="s">
        <v>205</v>
      </c>
      <c r="T14" s="3">
        <f ca="1">SUMIF($H$3:$H$120, "I", $J$3:$J$120)</f>
        <v>0</v>
      </c>
      <c r="V14" s="1" t="s">
        <v>101</v>
      </c>
      <c r="W14" s="1" t="s">
        <v>75</v>
      </c>
    </row>
    <row r="15" spans="1:25" x14ac:dyDescent="0.25">
      <c r="A15" s="1">
        <f t="shared" si="0"/>
        <v>0</v>
      </c>
      <c r="B15" s="1" t="s">
        <v>16</v>
      </c>
      <c r="C15" s="1">
        <v>35.200000000000003</v>
      </c>
      <c r="D15" s="1">
        <v>1</v>
      </c>
      <c r="F15" s="4" cm="1">
        <f t="array" aca="1" ref="F15" ca="1">INDEX(OFFSET(INDIRECT("A"&amp;F14), 1, 0):OFFSET(OFFSET(INDIRECT("A"&amp;F14), 1, 0), 100, 0),MATCH(TRUE,INDEX(OFFSET(INDIRECT("A"&amp;F14), 1, 0):OFFSET(OFFSET(INDIRECT("A"&amp;F14), 1, 0), 100, 0)&lt;&gt;0,),0))</f>
        <v>399</v>
      </c>
      <c r="G15" s="1" t="str" cm="1">
        <f t="array" aca="1" ref="G15" ca="1">INDIRECT("B"&amp;$F15)</f>
        <v>IP</v>
      </c>
      <c r="H15" s="3" t="str" cm="1">
        <f t="array" aca="1" ref="H15" ca="1">_xlfn.IFS(COUNTIF($V$3:$V$18, G15)&lt;&gt;0, "S", COUNTIF($W$3:$W$99, G15)&lt;&gt;0, "E", COUNTIF($X$3, G15)&lt;&gt;0, "I", COUNTIF($Y$3:$Y$8, G15)&lt;&gt;0, "W")</f>
        <v>E</v>
      </c>
      <c r="I15" s="3">
        <f ca="1">SUMIF(OFFSET(INDIRECT("B"&amp;$F15), 4, 0):INDIRECT("B"&amp;$F16), "*"&amp;$I$2&amp;"*", OFFSET(INDIRECT("C"&amp;$F15), 4, 0):OFFSET(INDIRECT("C"&amp;$F16), -1, 0))</f>
        <v>402</v>
      </c>
      <c r="J15" s="3">
        <f ca="1">SUMIF(OFFSET(INDIRECT("B"&amp;$F15), 4, 0):INDIRECT("B"&amp;$F16), "*"&amp;$J$2&amp;"*", OFFSET(INDIRECT("C"&amp;$F15), 4, 0):OFFSET(INDIRECT("C"&amp;$F16), -1, 0))</f>
        <v>198.96</v>
      </c>
      <c r="K15" s="3">
        <f ca="1">SUMIF(OFFSET(INDIRECT("B"&amp;$F15), 4, 0):INDIRECT("B"&amp;$F16), "*"&amp;$K$2&amp;"*", OFFSET(INDIRECT("C"&amp;$F15), 4, 0):OFFSET(INDIRECT("C"&amp;$F16), -1, 0))</f>
        <v>76.8</v>
      </c>
      <c r="L15" s="3">
        <f ca="1">SUMIF(OFFSET(INDIRECT("B"&amp;$F15), 4, 0):INDIRECT("B"&amp;$F16), "*"&amp;$L$2&amp;"*", OFFSET(INDIRECT("C"&amp;$F15), 4, 0):OFFSET(INDIRECT("C"&amp;$F16), -1, 0))</f>
        <v>54.8</v>
      </c>
      <c r="M15" s="3">
        <f ca="1">SUMIF(OFFSET(INDIRECT("B"&amp;$F15), 4, 0):INDIRECT("B"&amp;$F16), "*"&amp;$M$2&amp;"*", OFFSET(INDIRECT("C"&amp;$F15), 4, 0):OFFSET(INDIRECT("C"&amp;$F16), -1, 0))</f>
        <v>0</v>
      </c>
      <c r="N15" s="3">
        <f ca="1">SUMIF(OFFSET(INDIRECT("B"&amp;$F15), 4, 0):INDIRECT("B"&amp;$F16), "*"&amp;$N$2&amp;"*", OFFSET(INDIRECT("C"&amp;$F15), 4, 0):OFFSET(INDIRECT("C"&amp;$F16), -1, 0))</f>
        <v>63.31</v>
      </c>
      <c r="O15" s="3">
        <f ca="1">SUMIF(OFFSET(INDIRECT("B"&amp;$F15), 4, 0):INDIRECT("B"&amp;$F16), "*"&amp;$O$2&amp;"*", OFFSET(INDIRECT("C"&amp;$F15), 4, 0):OFFSET(INDIRECT("C"&amp;$F16), -1, 0))</f>
        <v>0</v>
      </c>
      <c r="P15" s="3">
        <f ca="1">SUMIF(OFFSET(INDIRECT("B"&amp;$F15), 4, 0):INDIRECT("B"&amp;$F16), "*"&amp;$P$2&amp;"*", OFFSET(INDIRECT("C"&amp;$F15), 4, 0):OFFSET(INDIRECT("C"&amp;$F16), -1, 0))</f>
        <v>192</v>
      </c>
      <c r="Q15" s="3">
        <f t="shared" ca="1" si="1"/>
        <v>987.86999999999989</v>
      </c>
      <c r="S15" s="1" t="s">
        <v>206</v>
      </c>
      <c r="T15" s="3">
        <f ca="1">SUMIF($H$3:$H$120, "W", $J$3:$J$120)</f>
        <v>221.55</v>
      </c>
      <c r="V15" s="1" t="s">
        <v>117</v>
      </c>
      <c r="W15" s="1" t="s">
        <v>129</v>
      </c>
    </row>
    <row r="16" spans="1:25" x14ac:dyDescent="0.25">
      <c r="A16" s="1">
        <f t="shared" si="0"/>
        <v>0</v>
      </c>
      <c r="B16" s="1" t="s">
        <v>17</v>
      </c>
      <c r="C16" s="1">
        <v>153.6</v>
      </c>
      <c r="D16" s="1">
        <v>4</v>
      </c>
      <c r="F16" s="4" cm="1">
        <f t="array" aca="1" ref="F16" ca="1">INDEX(OFFSET(INDIRECT("A"&amp;F15), 1, 0):OFFSET(OFFSET(INDIRECT("A"&amp;F15), 1, 0), 100, 0),MATCH(TRUE,INDEX(OFFSET(INDIRECT("A"&amp;F15), 1, 0):OFFSET(OFFSET(INDIRECT("A"&amp;F15), 1, 0), 100, 0)&lt;&gt;0,),0))</f>
        <v>419</v>
      </c>
      <c r="G16" s="1" t="str" cm="1">
        <f t="array" aca="1" ref="G16" ca="1">INDIRECT("B"&amp;$F16)</f>
        <v>BT</v>
      </c>
      <c r="H16" s="3" t="str" cm="1">
        <f t="array" aca="1" ref="H16" ca="1">_xlfn.IFS(COUNTIF($V$3:$V$18, G16)&lt;&gt;0, "S", COUNTIF($W$3:$W$99, G16)&lt;&gt;0, "E", COUNTIF($X$3, G16)&lt;&gt;0, "I", COUNTIF($Y$3:$Y$8, G16)&lt;&gt;0, "W")</f>
        <v>I</v>
      </c>
      <c r="I16" s="3">
        <f ca="1">SUMIF(OFFSET(INDIRECT("B"&amp;$F16), 4, 0):INDIRECT("B"&amp;$F17), "*"&amp;$I$2&amp;"*", OFFSET(INDIRECT("C"&amp;$F16), 4, 0):OFFSET(INDIRECT("C"&amp;$F17), -1, 0))</f>
        <v>694</v>
      </c>
      <c r="J16" s="3">
        <f ca="1">SUMIF(OFFSET(INDIRECT("B"&amp;$F16), 4, 0):INDIRECT("B"&amp;$F17), "*"&amp;$J$2&amp;"*", OFFSET(INDIRECT("C"&amp;$F16), 4, 0):OFFSET(INDIRECT("C"&amp;$F17), -1, 0))</f>
        <v>0</v>
      </c>
      <c r="K16" s="3">
        <f ca="1">SUMIF(OFFSET(INDIRECT("B"&amp;$F16), 4, 0):INDIRECT("B"&amp;$F17), "*"&amp;$K$2&amp;"*", OFFSET(INDIRECT("C"&amp;$F16), 4, 0):OFFSET(INDIRECT("C"&amp;$F17), -1, 0))</f>
        <v>0</v>
      </c>
      <c r="L16" s="3">
        <f ca="1">SUMIF(OFFSET(INDIRECT("B"&amp;$F16), 4, 0):INDIRECT("B"&amp;$F17), "*"&amp;$L$2&amp;"*", OFFSET(INDIRECT("C"&amp;$F16), 4, 0):OFFSET(INDIRECT("C"&amp;$F17), -1, 0))</f>
        <v>109.19</v>
      </c>
      <c r="M16" s="3">
        <f ca="1">SUMIF(OFFSET(INDIRECT("B"&amp;$F16), 4, 0):INDIRECT("B"&amp;$F17), "*"&amp;$M$2&amp;"*", OFFSET(INDIRECT("C"&amp;$F16), 4, 0):OFFSET(INDIRECT("C"&amp;$F17), -1, 0))</f>
        <v>94.8</v>
      </c>
      <c r="N16" s="3">
        <f ca="1">SUMIF(OFFSET(INDIRECT("B"&amp;$F16), 4, 0):INDIRECT("B"&amp;$F17), "*"&amp;$N$2&amp;"*", OFFSET(INDIRECT("C"&amp;$F16), 4, 0):OFFSET(INDIRECT("C"&amp;$F17), -1, 0))</f>
        <v>28.75</v>
      </c>
      <c r="O16" s="3">
        <f ca="1">SUMIF(OFFSET(INDIRECT("B"&amp;$F16), 4, 0):INDIRECT("B"&amp;$F17), "*"&amp;$O$2&amp;"*", OFFSET(INDIRECT("C"&amp;$F16), 4, 0):OFFSET(INDIRECT("C"&amp;$F17), -1, 0))</f>
        <v>0</v>
      </c>
      <c r="P16" s="3">
        <f ca="1">SUMIF(OFFSET(INDIRECT("B"&amp;$F16), 4, 0):INDIRECT("B"&amp;$F17), "*"&amp;$P$2&amp;"*", OFFSET(INDIRECT("C"&amp;$F16), 4, 0):OFFSET(INDIRECT("C"&amp;$F17), -1, 0))</f>
        <v>421.09999999999997</v>
      </c>
      <c r="Q16" s="3">
        <f t="shared" ca="1" si="1"/>
        <v>1347.84</v>
      </c>
      <c r="S16" s="1" t="s">
        <v>215</v>
      </c>
      <c r="T16" s="3">
        <f ca="1">SUM(T12:T15)</f>
        <v>10740.929999999998</v>
      </c>
      <c r="V16" s="1" t="s">
        <v>94</v>
      </c>
      <c r="W16" s="1" t="s">
        <v>154</v>
      </c>
    </row>
    <row r="17" spans="1:23" x14ac:dyDescent="0.25">
      <c r="A17" s="1">
        <f t="shared" si="0"/>
        <v>0</v>
      </c>
      <c r="B17" s="1" t="s">
        <v>18</v>
      </c>
      <c r="C17" s="1">
        <v>76.8</v>
      </c>
      <c r="D17" s="1">
        <v>2</v>
      </c>
      <c r="F17" s="4" cm="1">
        <f t="array" aca="1" ref="F17" ca="1">INDEX(OFFSET(INDIRECT("A"&amp;F16), 1, 0):OFFSET(OFFSET(INDIRECT("A"&amp;F16), 1, 0), 100, 0),MATCH(TRUE,INDEX(OFFSET(INDIRECT("A"&amp;F16), 1, 0):OFFSET(OFFSET(INDIRECT("A"&amp;F16), 1, 0), 100, 0)&lt;&gt;0,),0))</f>
        <v>446</v>
      </c>
      <c r="G17" s="1" t="str" cm="1">
        <f t="array" aca="1" ref="G17" ca="1">INDIRECT("B"&amp;$F17)</f>
        <v>B</v>
      </c>
      <c r="H17" s="3" t="str" cm="1">
        <f t="array" aca="1" ref="H17" ca="1">_xlfn.IFS(COUNTIF($V$3:$V$18, G17)&lt;&gt;0, "S", COUNTIF($W$3:$W$99, G17)&lt;&gt;0, "E", COUNTIF($X$3, G17)&lt;&gt;0, "I", COUNTIF($Y$3:$Y$8, G17)&lt;&gt;0, "W")</f>
        <v>E</v>
      </c>
      <c r="I17" s="3">
        <f ca="1">SUMIF(OFFSET(INDIRECT("B"&amp;$F17), 4, 0):INDIRECT("B"&amp;$F18), "*"&amp;$I$2&amp;"*", OFFSET(INDIRECT("C"&amp;$F17), 4, 0):OFFSET(INDIRECT("C"&amp;$F18), -1, 0))</f>
        <v>1544.35</v>
      </c>
      <c r="J17" s="3">
        <f ca="1">SUMIF(OFFSET(INDIRECT("B"&amp;$F17), 4, 0):INDIRECT("B"&amp;$F18), "*"&amp;$J$2&amp;"*", OFFSET(INDIRECT("C"&amp;$F17), 4, 0):OFFSET(INDIRECT("C"&amp;$F18), -1, 0))</f>
        <v>40</v>
      </c>
      <c r="K17" s="3">
        <f ca="1">SUMIF(OFFSET(INDIRECT("B"&amp;$F17), 4, 0):INDIRECT("B"&amp;$F18), "*"&amp;$K$2&amp;"*", OFFSET(INDIRECT("C"&amp;$F17), 4, 0):OFFSET(INDIRECT("C"&amp;$F18), -1, 0))</f>
        <v>0</v>
      </c>
      <c r="L17" s="3">
        <f ca="1">SUMIF(OFFSET(INDIRECT("B"&amp;$F17), 4, 0):INDIRECT("B"&amp;$F18), "*"&amp;$L$2&amp;"*", OFFSET(INDIRECT("C"&amp;$F17), 4, 0):OFFSET(INDIRECT("C"&amp;$F18), -1, 0))</f>
        <v>570.34</v>
      </c>
      <c r="M17" s="3">
        <f ca="1">SUMIF(OFFSET(INDIRECT("B"&amp;$F17), 4, 0):INDIRECT("B"&amp;$F18), "*"&amp;$M$2&amp;"*", OFFSET(INDIRECT("C"&amp;$F17), 4, 0):OFFSET(INDIRECT("C"&amp;$F18), -1, 0))</f>
        <v>262.8</v>
      </c>
      <c r="N17" s="3">
        <f ca="1">SUMIF(OFFSET(INDIRECT("B"&amp;$F17), 4, 0):INDIRECT("B"&amp;$F18), "*"&amp;$N$2&amp;"*", OFFSET(INDIRECT("C"&amp;$F17), 4, 0):OFFSET(INDIRECT("C"&amp;$F18), -1, 0))</f>
        <v>28.75</v>
      </c>
      <c r="O17" s="3">
        <f ca="1">SUMIF(OFFSET(INDIRECT("B"&amp;$F17), 4, 0):INDIRECT("B"&amp;$F18), "*"&amp;$O$2&amp;"*", OFFSET(INDIRECT("C"&amp;$F17), 4, 0):OFFSET(INDIRECT("C"&amp;$F18), -1, 0))</f>
        <v>64</v>
      </c>
      <c r="P17" s="3">
        <f ca="1">SUMIF(OFFSET(INDIRECT("B"&amp;$F17), 4, 0):INDIRECT("B"&amp;$F18), "*"&amp;$P$2&amp;"*", OFFSET(INDIRECT("C"&amp;$F17), 4, 0):OFFSET(INDIRECT("C"&amp;$F18), -1, 0))</f>
        <v>347.2</v>
      </c>
      <c r="Q17" s="3">
        <f t="shared" ca="1" si="1"/>
        <v>2857.44</v>
      </c>
      <c r="V17" s="1" t="s">
        <v>48</v>
      </c>
      <c r="W17" s="1" t="s">
        <v>149</v>
      </c>
    </row>
    <row r="18" spans="1:23" ht="15.75" x14ac:dyDescent="0.25">
      <c r="A18" s="1">
        <f t="shared" si="0"/>
        <v>0</v>
      </c>
      <c r="B18" s="1" t="s">
        <v>19</v>
      </c>
      <c r="C18" s="1">
        <v>28.75</v>
      </c>
      <c r="D18" s="1">
        <v>3</v>
      </c>
      <c r="F18" s="4" cm="1">
        <f t="array" aca="1" ref="F18" ca="1">INDEX(OFFSET(INDIRECT("A"&amp;F17), 1, 0):OFFSET(OFFSET(INDIRECT("A"&amp;F17), 1, 0), 100, 0),MATCH(TRUE,INDEX(OFFSET(INDIRECT("A"&amp;F17), 1, 0):OFFSET(OFFSET(INDIRECT("A"&amp;F17), 1, 0), 100, 0)&lt;&gt;0,),0))</f>
        <v>474</v>
      </c>
      <c r="G18" s="1" t="str" cm="1">
        <f t="array" aca="1" ref="G18" ca="1">INDIRECT("B"&amp;$F18)</f>
        <v>NG</v>
      </c>
      <c r="H18" s="3" t="str" cm="1">
        <f t="array" aca="1" ref="H18" ca="1">_xlfn.IFS(COUNTIF($V$3:$V$18, G18)&lt;&gt;0, "S", COUNTIF($W$3:$W$99, G18)&lt;&gt;0, "E", COUNTIF($X$3, G18)&lt;&gt;0, "I", COUNTIF($Y$3:$Y$8, G18)&lt;&gt;0, "W")</f>
        <v>E</v>
      </c>
      <c r="I18" s="3">
        <f ca="1">SUMIF(OFFSET(INDIRECT("B"&amp;$F18), 4, 0):INDIRECT("B"&amp;$F19), "*"&amp;$I$2&amp;"*", OFFSET(INDIRECT("C"&amp;$F18), 4, 0):OFFSET(INDIRECT("C"&amp;$F19), -1, 0))</f>
        <v>1998.8</v>
      </c>
      <c r="J18" s="3">
        <f ca="1">SUMIF(OFFSET(INDIRECT("B"&amp;$F18), 4, 0):INDIRECT("B"&amp;$F19), "*"&amp;$J$2&amp;"*", OFFSET(INDIRECT("C"&amp;$F18), 4, 0):OFFSET(INDIRECT("C"&amp;$F19), -1, 0))</f>
        <v>111.36</v>
      </c>
      <c r="K18" s="3">
        <f ca="1">SUMIF(OFFSET(INDIRECT("B"&amp;$F18), 4, 0):INDIRECT("B"&amp;$F19), "*"&amp;$K$2&amp;"*", OFFSET(INDIRECT("C"&amp;$F18), 4, 0):OFFSET(INDIRECT("C"&amp;$F19), -1, 0))</f>
        <v>0</v>
      </c>
      <c r="L18" s="3">
        <f ca="1">SUMIF(OFFSET(INDIRECT("B"&amp;$F18), 4, 0):INDIRECT("B"&amp;$F19), "*"&amp;$L$2&amp;"*", OFFSET(INDIRECT("C"&amp;$F18), 4, 0):OFFSET(INDIRECT("C"&amp;$F19), -1, 0))</f>
        <v>174.1</v>
      </c>
      <c r="M18" s="3">
        <f ca="1">SUMIF(OFFSET(INDIRECT("B"&amp;$F18), 4, 0):INDIRECT("B"&amp;$F19), "*"&amp;$M$2&amp;"*", OFFSET(INDIRECT("C"&amp;$F18), 4, 0):OFFSET(INDIRECT("C"&amp;$F19), -1, 0))</f>
        <v>195.60000000000002</v>
      </c>
      <c r="N18" s="3">
        <f ca="1">SUMIF(OFFSET(INDIRECT("B"&amp;$F18), 4, 0):INDIRECT("B"&amp;$F19), "*"&amp;$N$2&amp;"*", OFFSET(INDIRECT("C"&amp;$F18), 4, 0):OFFSET(INDIRECT("C"&amp;$F19), -1, 0))</f>
        <v>140.11000000000001</v>
      </c>
      <c r="O18" s="3">
        <f ca="1">SUMIF(OFFSET(INDIRECT("B"&amp;$F18), 4, 0):INDIRECT("B"&amp;$F19), "*"&amp;$O$2&amp;"*", OFFSET(INDIRECT("C"&amp;$F18), 4, 0):OFFSET(INDIRECT("C"&amp;$F19), -1, 0))</f>
        <v>76.8</v>
      </c>
      <c r="P18" s="3">
        <f ca="1">SUMIF(OFFSET(INDIRECT("B"&amp;$F18), 4, 0):INDIRECT("B"&amp;$F19), "*"&amp;$P$2&amp;"*", OFFSET(INDIRECT("C"&amp;$F18), 4, 0):OFFSET(INDIRECT("C"&amp;$F19), -1, 0))</f>
        <v>532</v>
      </c>
      <c r="Q18" s="3">
        <f t="shared" ca="1" si="1"/>
        <v>3228.77</v>
      </c>
      <c r="S18" s="7" t="str">
        <f>K2</f>
        <v>Ginger</v>
      </c>
      <c r="V18" s="1" t="s">
        <v>139</v>
      </c>
      <c r="W18" s="1" t="s">
        <v>145</v>
      </c>
    </row>
    <row r="19" spans="1:23" x14ac:dyDescent="0.25">
      <c r="A19" s="1">
        <f t="shared" si="0"/>
        <v>0</v>
      </c>
      <c r="B19" s="1" t="s">
        <v>20</v>
      </c>
      <c r="C19" s="1">
        <v>307.2</v>
      </c>
      <c r="D19" s="1">
        <v>8</v>
      </c>
      <c r="F19" s="4" cm="1">
        <f t="array" aca="1" ref="F19" ca="1">INDEX(OFFSET(INDIRECT("A"&amp;F18), 1, 0):OFFSET(OFFSET(INDIRECT("A"&amp;F18), 1, 0), 100, 0),MATCH(TRUE,INDEX(OFFSET(INDIRECT("A"&amp;F18), 1, 0):OFFSET(OFFSET(INDIRECT("A"&amp;F18), 1, 0), 100, 0)&lt;&gt;0,),0))</f>
        <v>506</v>
      </c>
      <c r="G19" s="1" t="str" cm="1">
        <f t="array" aca="1" ref="G19" ca="1">INDIRECT("B"&amp;$F19)</f>
        <v>IV</v>
      </c>
      <c r="H19" s="3" t="str" cm="1">
        <f t="array" aca="1" ref="H19" ca="1">_xlfn.IFS(COUNTIF($V$3:$V$18, G19)&lt;&gt;0, "S", COUNTIF($W$3:$W$99, G19)&lt;&gt;0, "E", COUNTIF($X$3, G19)&lt;&gt;0, "I", COUNTIF($Y$3:$Y$8, G19)&lt;&gt;0, "W")</f>
        <v>S</v>
      </c>
      <c r="I19" s="3">
        <f ca="1">SUMIF(OFFSET(INDIRECT("B"&amp;$F19), 4, 0):INDIRECT("B"&amp;$F20), "*"&amp;$I$2&amp;"*", OFFSET(INDIRECT("C"&amp;$F19), 4, 0):OFFSET(INDIRECT("C"&amp;$F20), -1, 0))</f>
        <v>2051.15</v>
      </c>
      <c r="J19" s="3">
        <f ca="1">SUMIF(OFFSET(INDIRECT("B"&amp;$F19), 4, 0):INDIRECT("B"&amp;$F20), "*"&amp;$J$2&amp;"*", OFFSET(INDIRECT("C"&amp;$F19), 4, 0):OFFSET(INDIRECT("C"&amp;$F20), -1, 0))</f>
        <v>305.47000000000003</v>
      </c>
      <c r="K19" s="3">
        <f ca="1">SUMIF(OFFSET(INDIRECT("B"&amp;$F19), 4, 0):INDIRECT("B"&amp;$F20), "*"&amp;$K$2&amp;"*", OFFSET(INDIRECT("C"&amp;$F19), 4, 0):OFFSET(INDIRECT("C"&amp;$F20), -1, 0))</f>
        <v>227.5</v>
      </c>
      <c r="L19" s="3">
        <f ca="1">SUMIF(OFFSET(INDIRECT("B"&amp;$F19), 4, 0):INDIRECT("B"&amp;$F20), "*"&amp;$L$2&amp;"*", OFFSET(INDIRECT("C"&amp;$F19), 4, 0):OFFSET(INDIRECT("C"&amp;$F20), -1, 0))</f>
        <v>517.55000000000007</v>
      </c>
      <c r="M19" s="3">
        <f ca="1">SUMIF(OFFSET(INDIRECT("B"&amp;$F19), 4, 0):INDIRECT("B"&amp;$F20), "*"&amp;$M$2&amp;"*", OFFSET(INDIRECT("C"&amp;$F19), 4, 0):OFFSET(INDIRECT("C"&amp;$F20), -1, 0))</f>
        <v>577.20000000000005</v>
      </c>
      <c r="N19" s="3">
        <f ca="1">SUMIF(OFFSET(INDIRECT("B"&amp;$F19), 4, 0):INDIRECT("B"&amp;$F20), "*"&amp;$N$2&amp;"*", OFFSET(INDIRECT("C"&amp;$F19), 4, 0):OFFSET(INDIRECT("C"&amp;$F20), -1, 0))</f>
        <v>272.54000000000002</v>
      </c>
      <c r="O19" s="3">
        <f ca="1">SUMIF(OFFSET(INDIRECT("B"&amp;$F19), 4, 0):INDIRECT("B"&amp;$F20), "*"&amp;$O$2&amp;"*", OFFSET(INDIRECT("C"&amp;$F19), 4, 0):OFFSET(INDIRECT("C"&amp;$F20), -1, 0))</f>
        <v>217.6</v>
      </c>
      <c r="P19" s="3">
        <f ca="1">SUMIF(OFFSET(INDIRECT("B"&amp;$F19), 4, 0):INDIRECT("B"&amp;$F20), "*"&amp;$P$2&amp;"*", OFFSET(INDIRECT("C"&amp;$F19), 4, 0):OFFSET(INDIRECT("C"&amp;$F20), -1, 0))</f>
        <v>2392.5</v>
      </c>
      <c r="Q19" s="3">
        <f t="shared" ca="1" si="1"/>
        <v>6561.51</v>
      </c>
      <c r="S19" s="1" t="s">
        <v>217</v>
      </c>
      <c r="T19" s="1" t="s">
        <v>4</v>
      </c>
      <c r="W19" s="1" t="s">
        <v>143</v>
      </c>
    </row>
    <row r="20" spans="1:23" x14ac:dyDescent="0.25">
      <c r="A20" s="1">
        <f t="shared" si="0"/>
        <v>0</v>
      </c>
      <c r="B20" s="1" t="s">
        <v>21</v>
      </c>
      <c r="C20" s="1">
        <v>328.8</v>
      </c>
      <c r="D20" s="1">
        <v>6</v>
      </c>
      <c r="F20" s="4" cm="1">
        <f t="array" aca="1" ref="F20" ca="1">INDEX(OFFSET(INDIRECT("A"&amp;F19), 1, 0):OFFSET(OFFSET(INDIRECT("A"&amp;F19), 1, 0), 100, 0),MATCH(TRUE,INDEX(OFFSET(INDIRECT("A"&amp;F19), 1, 0):OFFSET(OFFSET(INDIRECT("A"&amp;F19), 1, 0), 100, 0)&lt;&gt;0,),0))</f>
        <v>551</v>
      </c>
      <c r="G20" s="1" t="str" cm="1">
        <f t="array" aca="1" ref="G20" ca="1">INDIRECT("B"&amp;$F20)</f>
        <v>HA</v>
      </c>
      <c r="H20" s="3" t="str" cm="1">
        <f t="array" aca="1" ref="H20" ca="1">_xlfn.IFS(COUNTIF($V$3:$V$18, G20)&lt;&gt;0, "S", COUNTIF($W$3:$W$99, G20)&lt;&gt;0, "E", COUNTIF($X$3, G20)&lt;&gt;0, "I", COUNTIF($Y$3:$Y$8, G20)&lt;&gt;0, "W")</f>
        <v>E</v>
      </c>
      <c r="I20" s="3">
        <f ca="1">SUMIF(OFFSET(INDIRECT("B"&amp;$F20), 4, 0):INDIRECT("B"&amp;$F21), "*"&amp;$I$2&amp;"*", OFFSET(INDIRECT("C"&amp;$F20), 4, 0):OFFSET(INDIRECT("C"&amp;$F21), -1, 0))</f>
        <v>224.8</v>
      </c>
      <c r="J20" s="3">
        <f ca="1">SUMIF(OFFSET(INDIRECT("B"&amp;$F20), 4, 0):INDIRECT("B"&amp;$F21), "*"&amp;$J$2&amp;"*", OFFSET(INDIRECT("C"&amp;$F20), 4, 0):OFFSET(INDIRECT("C"&amp;$F21), -1, 0))</f>
        <v>0</v>
      </c>
      <c r="K20" s="3">
        <f ca="1">SUMIF(OFFSET(INDIRECT("B"&amp;$F20), 4, 0):INDIRECT("B"&amp;$F21), "*"&amp;$K$2&amp;"*", OFFSET(INDIRECT("C"&amp;$F20), 4, 0):OFFSET(INDIRECT("C"&amp;$F21), -1, 0))</f>
        <v>38.4</v>
      </c>
      <c r="L20" s="3">
        <f ca="1">SUMIF(OFFSET(INDIRECT("B"&amp;$F20), 4, 0):INDIRECT("B"&amp;$F21), "*"&amp;$L$2&amp;"*", OFFSET(INDIRECT("C"&amp;$F20), 4, 0):OFFSET(INDIRECT("C"&amp;$F21), -1, 0))</f>
        <v>76.8</v>
      </c>
      <c r="M20" s="3">
        <f ca="1">SUMIF(OFFSET(INDIRECT("B"&amp;$F20), 4, 0):INDIRECT("B"&amp;$F21), "*"&amp;$M$2&amp;"*", OFFSET(INDIRECT("C"&amp;$F20), 4, 0):OFFSET(INDIRECT("C"&amp;$F21), -1, 0))</f>
        <v>38.4</v>
      </c>
      <c r="N20" s="3">
        <f ca="1">SUMIF(OFFSET(INDIRECT("B"&amp;$F20), 4, 0):INDIRECT("B"&amp;$F21), "*"&amp;$N$2&amp;"*", OFFSET(INDIRECT("C"&amp;$F20), 4, 0):OFFSET(INDIRECT("C"&amp;$F21), -1, 0))</f>
        <v>0</v>
      </c>
      <c r="O20" s="3">
        <f ca="1">SUMIF(OFFSET(INDIRECT("B"&amp;$F20), 4, 0):INDIRECT("B"&amp;$F21), "*"&amp;$O$2&amp;"*", OFFSET(INDIRECT("C"&amp;$F20), 4, 0):OFFSET(INDIRECT("C"&amp;$F21), -1, 0))</f>
        <v>0</v>
      </c>
      <c r="P20" s="3">
        <f ca="1">SUMIF(OFFSET(INDIRECT("B"&amp;$F20), 4, 0):INDIRECT("B"&amp;$F21), "*"&amp;$P$2&amp;"*", OFFSET(INDIRECT("C"&amp;$F20), 4, 0):OFFSET(INDIRECT("C"&amp;$F21), -1, 0))</f>
        <v>238.75</v>
      </c>
      <c r="Q20" s="3">
        <f t="shared" ca="1" si="1"/>
        <v>617.15</v>
      </c>
      <c r="S20" s="1" t="s">
        <v>197</v>
      </c>
      <c r="T20" s="3">
        <f ca="1">SUMIF($H$3:$H$120, "E", $K$3:$K$120)</f>
        <v>3128.3000000000011</v>
      </c>
      <c r="W20" s="1" t="s">
        <v>142</v>
      </c>
    </row>
    <row r="21" spans="1:23" x14ac:dyDescent="0.25">
      <c r="A21" s="1">
        <f t="shared" si="0"/>
        <v>0</v>
      </c>
      <c r="B21" s="1" t="s">
        <v>22</v>
      </c>
      <c r="C21" s="1">
        <v>54.8</v>
      </c>
      <c r="D21" s="1">
        <v>1</v>
      </c>
      <c r="F21" s="4" cm="1">
        <f t="array" aca="1" ref="F21" ca="1">INDEX(OFFSET(INDIRECT("A"&amp;F20), 1, 0):OFFSET(OFFSET(INDIRECT("A"&amp;F20), 1, 0), 100, 0),MATCH(TRUE,INDEX(OFFSET(INDIRECT("A"&amp;F20), 1, 0):OFFSET(OFFSET(INDIRECT("A"&amp;F20), 1, 0), 100, 0)&lt;&gt;0,),0))</f>
        <v>567</v>
      </c>
      <c r="G21" s="1" t="str" cm="1">
        <f t="array" aca="1" ref="G21" ca="1">INDIRECT("B"&amp;$F21)</f>
        <v>S</v>
      </c>
      <c r="H21" s="3" t="str" cm="1">
        <f t="array" aca="1" ref="H21" ca="1">_xlfn.IFS(COUNTIF($V$3:$V$18, G21)&lt;&gt;0, "S", COUNTIF($W$3:$W$99, G21)&lt;&gt;0, "E", COUNTIF($X$3, G21)&lt;&gt;0, "I", COUNTIF($Y$3:$Y$8, G21)&lt;&gt;0, "W")</f>
        <v>E</v>
      </c>
      <c r="I21" s="3">
        <f ca="1">SUMIF(OFFSET(INDIRECT("B"&amp;$F21), 4, 0):INDIRECT("B"&amp;$F22), "*"&amp;$I$2&amp;"*", OFFSET(INDIRECT("C"&amp;$F21), 4, 0):OFFSET(INDIRECT("C"&amp;$F22), -1, 0))</f>
        <v>1793.1500000000003</v>
      </c>
      <c r="J21" s="3">
        <f ca="1">SUMIF(OFFSET(INDIRECT("B"&amp;$F21), 4, 0):INDIRECT("B"&amp;$F22), "*"&amp;$J$2&amp;"*", OFFSET(INDIRECT("C"&amp;$F21), 4, 0):OFFSET(INDIRECT("C"&amp;$F22), -1, 0))</f>
        <v>76.8</v>
      </c>
      <c r="K21" s="3">
        <f ca="1">SUMIF(OFFSET(INDIRECT("B"&amp;$F21), 4, 0):INDIRECT("B"&amp;$F22), "*"&amp;$K$2&amp;"*", OFFSET(INDIRECT("C"&amp;$F21), 4, 0):OFFSET(INDIRECT("C"&amp;$F22), -1, 0))</f>
        <v>116.8</v>
      </c>
      <c r="L21" s="3">
        <f ca="1">SUMIF(OFFSET(INDIRECT("B"&amp;$F21), 4, 0):INDIRECT("B"&amp;$F22), "*"&amp;$L$2&amp;"*", OFFSET(INDIRECT("C"&amp;$F21), 4, 0):OFFSET(INDIRECT("C"&amp;$F22), -1, 0))</f>
        <v>181.55</v>
      </c>
      <c r="M21" s="3">
        <f ca="1">SUMIF(OFFSET(INDIRECT("B"&amp;$F21), 4, 0):INDIRECT("B"&amp;$F22), "*"&amp;$M$2&amp;"*", OFFSET(INDIRECT("C"&amp;$F21), 4, 0):OFFSET(INDIRECT("C"&amp;$F22), -1, 0))</f>
        <v>238.8</v>
      </c>
      <c r="N21" s="3">
        <f ca="1">SUMIF(OFFSET(INDIRECT("B"&amp;$F21), 4, 0):INDIRECT("B"&amp;$F22), "*"&amp;$N$2&amp;"*", OFFSET(INDIRECT("C"&amp;$F21), 4, 0):OFFSET(INDIRECT("C"&amp;$F22), -1, 0))</f>
        <v>120.81</v>
      </c>
      <c r="O21" s="3">
        <f ca="1">SUMIF(OFFSET(INDIRECT("B"&amp;$F21), 4, 0):INDIRECT("B"&amp;$F22), "*"&amp;$O$2&amp;"*", OFFSET(INDIRECT("C"&amp;$F21), 4, 0):OFFSET(INDIRECT("C"&amp;$F22), -1, 0))</f>
        <v>64</v>
      </c>
      <c r="P21" s="3">
        <f ca="1">SUMIF(OFFSET(INDIRECT("B"&amp;$F21), 4, 0):INDIRECT("B"&amp;$F22), "*"&amp;$P$2&amp;"*", OFFSET(INDIRECT("C"&amp;$F21), 4, 0):OFFSET(INDIRECT("C"&amp;$F22), -1, 0))</f>
        <v>423.55</v>
      </c>
      <c r="Q21" s="3">
        <f t="shared" ca="1" si="1"/>
        <v>3015.4600000000005</v>
      </c>
      <c r="S21" s="1" t="s">
        <v>198</v>
      </c>
      <c r="T21" s="3">
        <f ca="1">SUMIF($H$3:$H$120, "S", $K$3:$K$120)</f>
        <v>3858.1699999999992</v>
      </c>
      <c r="W21" s="1" t="s">
        <v>180</v>
      </c>
    </row>
    <row r="22" spans="1:23" x14ac:dyDescent="0.25">
      <c r="A22" s="1">
        <f t="shared" si="0"/>
        <v>0</v>
      </c>
      <c r="B22" s="1" t="s">
        <v>23</v>
      </c>
      <c r="C22" s="1">
        <v>49.95</v>
      </c>
      <c r="D22" s="1">
        <v>1</v>
      </c>
      <c r="F22" s="4" cm="1">
        <f t="array" aca="1" ref="F22" ca="1">INDEX(OFFSET(INDIRECT("A"&amp;F21), 1, 0):OFFSET(OFFSET(INDIRECT("A"&amp;F21), 1, 0), 100, 0),MATCH(TRUE,INDEX(OFFSET(INDIRECT("A"&amp;F21), 1, 0):OFFSET(OFFSET(INDIRECT("A"&amp;F21), 1, 0), 100, 0)&lt;&gt;0,),0))</f>
        <v>599</v>
      </c>
      <c r="G22" s="1" t="str" cm="1">
        <f t="array" aca="1" ref="G22" ca="1">INDIRECT("B"&amp;$F22)</f>
        <v>SY</v>
      </c>
      <c r="H22" s="3" t="str" cm="1">
        <f t="array" aca="1" ref="H22" ca="1">_xlfn.IFS(COUNTIF($V$3:$V$18, G22)&lt;&gt;0, "S", COUNTIF($W$3:$W$99, G22)&lt;&gt;0, "E", COUNTIF($X$3, G22)&lt;&gt;0, "I", COUNTIF($Y$3:$Y$8, G22)&lt;&gt;0, "W")</f>
        <v>W</v>
      </c>
      <c r="I22" s="3">
        <f ca="1">SUMIF(OFFSET(INDIRECT("B"&amp;$F22), 4, 0):INDIRECT("B"&amp;$F23), "*"&amp;$I$2&amp;"*", OFFSET(INDIRECT("C"&amp;$F22), 4, 0):OFFSET(INDIRECT("C"&amp;$F23), -1, 0))</f>
        <v>404.8</v>
      </c>
      <c r="J22" s="3">
        <f ca="1">SUMIF(OFFSET(INDIRECT("B"&amp;$F22), 4, 0):INDIRECT("B"&amp;$F23), "*"&amp;$J$2&amp;"*", OFFSET(INDIRECT("C"&amp;$F22), 4, 0):OFFSET(INDIRECT("C"&amp;$F23), -1, 0))</f>
        <v>54.8</v>
      </c>
      <c r="K22" s="3">
        <f ca="1">SUMIF(OFFSET(INDIRECT("B"&amp;$F22), 4, 0):INDIRECT("B"&amp;$F23), "*"&amp;$K$2&amp;"*", OFFSET(INDIRECT("C"&amp;$F22), 4, 0):OFFSET(INDIRECT("C"&amp;$F23), -1, 0))</f>
        <v>86.25</v>
      </c>
      <c r="L22" s="3">
        <f ca="1">SUMIF(OFFSET(INDIRECT("B"&amp;$F22), 4, 0):INDIRECT("B"&amp;$F23), "*"&amp;$L$2&amp;"*", OFFSET(INDIRECT("C"&amp;$F22), 4, 0):OFFSET(INDIRECT("C"&amp;$F23), -1, 0))</f>
        <v>42.5</v>
      </c>
      <c r="M22" s="3">
        <f ca="1">SUMIF(OFFSET(INDIRECT("B"&amp;$F22), 4, 0):INDIRECT("B"&amp;$F23), "*"&amp;$M$2&amp;"*", OFFSET(INDIRECT("C"&amp;$F22), 4, 0):OFFSET(INDIRECT("C"&amp;$F23), -1, 0))</f>
        <v>38.4</v>
      </c>
      <c r="N22" s="3">
        <f ca="1">SUMIF(OFFSET(INDIRECT("B"&amp;$F22), 4, 0):INDIRECT("B"&amp;$F23), "*"&amp;$N$2&amp;"*", OFFSET(INDIRECT("C"&amp;$F22), 4, 0):OFFSET(INDIRECT("C"&amp;$F23), -1, 0))</f>
        <v>0</v>
      </c>
      <c r="O22" s="3">
        <f ca="1">SUMIF(OFFSET(INDIRECT("B"&amp;$F22), 4, 0):INDIRECT("B"&amp;$F23), "*"&amp;$O$2&amp;"*", OFFSET(INDIRECT("C"&amp;$F22), 4, 0):OFFSET(INDIRECT("C"&amp;$F23), -1, 0))</f>
        <v>0</v>
      </c>
      <c r="P22" s="3">
        <f ca="1">SUMIF(OFFSET(INDIRECT("B"&amp;$F22), 4, 0):INDIRECT("B"&amp;$F23), "*"&amp;$P$2&amp;"*", OFFSET(INDIRECT("C"&amp;$F22), 4, 0):OFFSET(INDIRECT("C"&amp;$F23), -1, 0))</f>
        <v>153.4</v>
      </c>
      <c r="Q22" s="3">
        <f t="shared" ca="1" si="1"/>
        <v>780.15</v>
      </c>
      <c r="S22" s="1" t="s">
        <v>205</v>
      </c>
      <c r="T22" s="3">
        <f ca="1">SUMIF($H$3:$H$120, "I", $K$3:$K$120)</f>
        <v>0</v>
      </c>
      <c r="W22" s="1" t="s">
        <v>156</v>
      </c>
    </row>
    <row r="23" spans="1:23" x14ac:dyDescent="0.25">
      <c r="A23" s="1">
        <f t="shared" si="0"/>
        <v>23</v>
      </c>
      <c r="B23" s="1" t="s">
        <v>24</v>
      </c>
      <c r="F23" s="4" cm="1">
        <f t="array" aca="1" ref="F23" ca="1">INDEX(OFFSET(INDIRECT("A"&amp;F22), 1, 0):OFFSET(OFFSET(INDIRECT("A"&amp;F22), 1, 0), 100, 0),MATCH(TRUE,INDEX(OFFSET(INDIRECT("A"&amp;F22), 1, 0):OFFSET(OFFSET(INDIRECT("A"&amp;F22), 1, 0), 100, 0)&lt;&gt;0,),0))</f>
        <v>618</v>
      </c>
      <c r="G23" s="1" t="str" cm="1">
        <f t="array" aca="1" ref="G23" ca="1">INDIRECT("B"&amp;$F23)</f>
        <v>NW</v>
      </c>
      <c r="H23" s="3" t="str" cm="1">
        <f t="array" aca="1" ref="H23" ca="1">_xlfn.IFS(COUNTIF($V$3:$V$18, G23)&lt;&gt;0, "S", COUNTIF($W$3:$W$99, G23)&lt;&gt;0, "E", COUNTIF($X$3, G23)&lt;&gt;0, "I", COUNTIF($Y$3:$Y$8, G23)&lt;&gt;0, "W")</f>
        <v>E</v>
      </c>
      <c r="I23" s="3">
        <f ca="1">SUMIF(OFFSET(INDIRECT("B"&amp;$F23), 4, 0):INDIRECT("B"&amp;$F24), "*"&amp;$I$2&amp;"*", OFFSET(INDIRECT("C"&amp;$F23), 4, 0):OFFSET(INDIRECT("C"&amp;$F24), -1, 0))</f>
        <v>205.2</v>
      </c>
      <c r="J23" s="3">
        <f ca="1">SUMIF(OFFSET(INDIRECT("B"&amp;$F23), 4, 0):INDIRECT("B"&amp;$F24), "*"&amp;$J$2&amp;"*", OFFSET(INDIRECT("C"&amp;$F23), 4, 0):OFFSET(INDIRECT("C"&amp;$F24), -1, 0))</f>
        <v>38.4</v>
      </c>
      <c r="K23" s="3">
        <f ca="1">SUMIF(OFFSET(INDIRECT("B"&amp;$F23), 4, 0):INDIRECT("B"&amp;$F24), "*"&amp;$K$2&amp;"*", OFFSET(INDIRECT("C"&amp;$F23), 4, 0):OFFSET(INDIRECT("C"&amp;$F24), -1, 0))</f>
        <v>0</v>
      </c>
      <c r="L23" s="3">
        <f ca="1">SUMIF(OFFSET(INDIRECT("B"&amp;$F23), 4, 0):INDIRECT("B"&amp;$F24), "*"&amp;$L$2&amp;"*", OFFSET(INDIRECT("C"&amp;$F23), 4, 0):OFFSET(INDIRECT("C"&amp;$F24), -1, 0))</f>
        <v>54.39</v>
      </c>
      <c r="M23" s="3">
        <f ca="1">SUMIF(OFFSET(INDIRECT("B"&amp;$F23), 4, 0):INDIRECT("B"&amp;$F24), "*"&amp;$M$2&amp;"*", OFFSET(INDIRECT("C"&amp;$F23), 4, 0):OFFSET(INDIRECT("C"&amp;$F24), -1, 0))</f>
        <v>0</v>
      </c>
      <c r="N23" s="3">
        <f ca="1">SUMIF(OFFSET(INDIRECT("B"&amp;$F23), 4, 0):INDIRECT("B"&amp;$F24), "*"&amp;$N$2&amp;"*", OFFSET(INDIRECT("C"&amp;$F23), 4, 0):OFFSET(INDIRECT("C"&amp;$F24), -1, 0))</f>
        <v>28.75</v>
      </c>
      <c r="O23" s="3">
        <f ca="1">SUMIF(OFFSET(INDIRECT("B"&amp;$F23), 4, 0):INDIRECT("B"&amp;$F24), "*"&amp;$O$2&amp;"*", OFFSET(INDIRECT("C"&amp;$F23), 4, 0):OFFSET(INDIRECT("C"&amp;$F24), -1, 0))</f>
        <v>0</v>
      </c>
      <c r="P23" s="3">
        <f ca="1">SUMIF(OFFSET(INDIRECT("B"&amp;$F23), 4, 0):INDIRECT("B"&amp;$F24), "*"&amp;$P$2&amp;"*", OFFSET(INDIRECT("C"&amp;$F23), 4, 0):OFFSET(INDIRECT("C"&amp;$F24), -1, 0))</f>
        <v>253.55</v>
      </c>
      <c r="Q23" s="3">
        <f t="shared" ca="1" si="1"/>
        <v>580.29</v>
      </c>
      <c r="S23" s="1" t="s">
        <v>206</v>
      </c>
      <c r="T23" s="3">
        <f ca="1">SUMIF($H$3:$H$120, "W", $K$3:$K$120)</f>
        <v>169.8</v>
      </c>
      <c r="W23" s="1" t="s">
        <v>130</v>
      </c>
    </row>
    <row r="24" spans="1:23" x14ac:dyDescent="0.25">
      <c r="A24" s="1">
        <f t="shared" si="0"/>
        <v>0</v>
      </c>
      <c r="B24" s="1" t="s">
        <v>1</v>
      </c>
      <c r="C24" s="1">
        <v>122</v>
      </c>
      <c r="F24" s="4" cm="1">
        <f t="array" aca="1" ref="F24" ca="1">INDEX(OFFSET(INDIRECT("A"&amp;F23), 1, 0):OFFSET(OFFSET(INDIRECT("A"&amp;F23), 1, 0), 100, 0),MATCH(TRUE,INDEX(OFFSET(INDIRECT("A"&amp;F23), 1, 0):OFFSET(OFFSET(INDIRECT("A"&amp;F23), 1, 0), 100, 0)&lt;&gt;0,),0))</f>
        <v>636</v>
      </c>
      <c r="G24" s="1" t="str" cm="1">
        <f t="array" aca="1" ref="G24" ca="1">INDIRECT("B"&amp;$F24)</f>
        <v>BA</v>
      </c>
      <c r="H24" s="3" t="str" cm="1">
        <f t="array" aca="1" ref="H24" ca="1">_xlfn.IFS(COUNTIF($V$3:$V$18, G24)&lt;&gt;0, "S", COUNTIF($W$3:$W$99, G24)&lt;&gt;0, "E", COUNTIF($X$3, G24)&lt;&gt;0, "I", COUNTIF($Y$3:$Y$8, G24)&lt;&gt;0, "W")</f>
        <v>E</v>
      </c>
      <c r="I24" s="3">
        <f ca="1">SUMIF(OFFSET(INDIRECT("B"&amp;$F24), 4, 0):INDIRECT("B"&amp;$F25), "*"&amp;$I$2&amp;"*", OFFSET(INDIRECT("C"&amp;$F24), 4, 0):OFFSET(INDIRECT("C"&amp;$F25), -1, 0))</f>
        <v>931.6</v>
      </c>
      <c r="J24" s="3">
        <f ca="1">SUMIF(OFFSET(INDIRECT("B"&amp;$F24), 4, 0):INDIRECT("B"&amp;$F25), "*"&amp;$J$2&amp;"*", OFFSET(INDIRECT("C"&amp;$F24), 4, 0):OFFSET(INDIRECT("C"&amp;$F25), -1, 0))</f>
        <v>0</v>
      </c>
      <c r="K24" s="3">
        <f ca="1">SUMIF(OFFSET(INDIRECT("B"&amp;$F24), 4, 0):INDIRECT("B"&amp;$F25), "*"&amp;$K$2&amp;"*", OFFSET(INDIRECT("C"&amp;$F24), 4, 0):OFFSET(INDIRECT("C"&amp;$F25), -1, 0))</f>
        <v>0</v>
      </c>
      <c r="L24" s="3">
        <f ca="1">SUMIF(OFFSET(INDIRECT("B"&amp;$F24), 4, 0):INDIRECT("B"&amp;$F25), "*"&amp;$L$2&amp;"*", OFFSET(INDIRECT("C"&amp;$F24), 4, 0):OFFSET(INDIRECT("C"&amp;$F25), -1, 0))</f>
        <v>0</v>
      </c>
      <c r="M24" s="3">
        <f ca="1">SUMIF(OFFSET(INDIRECT("B"&amp;$F24), 4, 0):INDIRECT("B"&amp;$F25), "*"&amp;$M$2&amp;"*", OFFSET(INDIRECT("C"&amp;$F24), 4, 0):OFFSET(INDIRECT("C"&amp;$F25), -1, 0))</f>
        <v>171.6</v>
      </c>
      <c r="N24" s="3">
        <f ca="1">SUMIF(OFFSET(INDIRECT("B"&amp;$F24), 4, 0):INDIRECT("B"&amp;$F25), "*"&amp;$N$2&amp;"*", OFFSET(INDIRECT("C"&amp;$F24), 4, 0):OFFSET(INDIRECT("C"&amp;$F25), -1, 0))</f>
        <v>57.5</v>
      </c>
      <c r="O24" s="3">
        <f ca="1">SUMIF(OFFSET(INDIRECT("B"&amp;$F24), 4, 0):INDIRECT("B"&amp;$F25), "*"&amp;$O$2&amp;"*", OFFSET(INDIRECT("C"&amp;$F24), 4, 0):OFFSET(INDIRECT("C"&amp;$F25), -1, 0))</f>
        <v>38.4</v>
      </c>
      <c r="P24" s="3">
        <f ca="1">SUMIF(OFFSET(INDIRECT("B"&amp;$F24), 4, 0):INDIRECT("B"&amp;$F25), "*"&amp;$P$2&amp;"*", OFFSET(INDIRECT("C"&amp;$F24), 4, 0):OFFSET(INDIRECT("C"&amp;$F25), -1, 0))</f>
        <v>93.199999999999989</v>
      </c>
      <c r="Q24" s="3">
        <f t="shared" ca="1" si="1"/>
        <v>1292.3000000000002</v>
      </c>
      <c r="S24" s="1" t="s">
        <v>215</v>
      </c>
      <c r="T24" s="3">
        <f ca="1">SUM(T20:T23)</f>
        <v>7156.27</v>
      </c>
      <c r="W24" s="1" t="s">
        <v>114</v>
      </c>
    </row>
    <row r="25" spans="1:23" x14ac:dyDescent="0.25">
      <c r="A25" s="1">
        <f t="shared" si="0"/>
        <v>0</v>
      </c>
      <c r="B25" s="1" t="s">
        <v>2</v>
      </c>
      <c r="C25" s="1">
        <v>4727.1899999999996</v>
      </c>
      <c r="F25" s="4" cm="1">
        <f t="array" aca="1" ref="F25" ca="1">INDEX(OFFSET(INDIRECT("A"&amp;F24), 1, 0):OFFSET(OFFSET(INDIRECT("A"&amp;F24), 1, 0), 100, 0),MATCH(TRUE,INDEX(OFFSET(INDIRECT("A"&amp;F24), 1, 0):OFFSET(OFFSET(INDIRECT("A"&amp;F24), 1, 0), 100, 0)&lt;&gt;0,),0))</f>
        <v>657</v>
      </c>
      <c r="G25" s="1" t="str" cm="1">
        <f t="array" aca="1" ref="G25" ca="1">INDIRECT("B"&amp;$F25)</f>
        <v>NP</v>
      </c>
      <c r="H25" s="3" t="str" cm="1">
        <f t="array" aca="1" ref="H25" ca="1">_xlfn.IFS(COUNTIF($V$3:$V$18, G25)&lt;&gt;0, "S", COUNTIF($W$3:$W$99, G25)&lt;&gt;0, "E", COUNTIF($X$3, G25)&lt;&gt;0, "I", COUNTIF($Y$3:$Y$8, G25)&lt;&gt;0, "W")</f>
        <v>W</v>
      </c>
      <c r="I25" s="3">
        <f ca="1">SUMIF(OFFSET(INDIRECT("B"&amp;$F25), 4, 0):INDIRECT("B"&amp;$F26), "*"&amp;$I$2&amp;"*", OFFSET(INDIRECT("C"&amp;$F25), 4, 0):OFFSET(INDIRECT("C"&amp;$F26), -1, 0))</f>
        <v>2688</v>
      </c>
      <c r="J25" s="3">
        <f ca="1">SUMIF(OFFSET(INDIRECT("B"&amp;$F25), 4, 0):INDIRECT("B"&amp;$F26), "*"&amp;$J$2&amp;"*", OFFSET(INDIRECT("C"&amp;$F25), 4, 0):OFFSET(INDIRECT("C"&amp;$F26), -1, 0))</f>
        <v>0</v>
      </c>
      <c r="K25" s="3">
        <f ca="1">SUMIF(OFFSET(INDIRECT("B"&amp;$F25), 4, 0):INDIRECT("B"&amp;$F26), "*"&amp;$K$2&amp;"*", OFFSET(INDIRECT("C"&amp;$F25), 4, 0):OFFSET(INDIRECT("C"&amp;$F26), -1, 0))</f>
        <v>0</v>
      </c>
      <c r="L25" s="3">
        <f ca="1">SUMIF(OFFSET(INDIRECT("B"&amp;$F25), 4, 0):INDIRECT("B"&amp;$F26), "*"&amp;$L$2&amp;"*", OFFSET(INDIRECT("C"&amp;$F25), 4, 0):OFFSET(INDIRECT("C"&amp;$F26), -1, 0))</f>
        <v>0</v>
      </c>
      <c r="M25" s="3">
        <f ca="1">SUMIF(OFFSET(INDIRECT("B"&amp;$F25), 4, 0):INDIRECT("B"&amp;$F26), "*"&amp;$M$2&amp;"*", OFFSET(INDIRECT("C"&amp;$F25), 4, 0):OFFSET(INDIRECT("C"&amp;$F26), -1, 0))</f>
        <v>80</v>
      </c>
      <c r="N25" s="3">
        <f ca="1">SUMIF(OFFSET(INDIRECT("B"&amp;$F25), 4, 0):INDIRECT("B"&amp;$F26), "*"&amp;$N$2&amp;"*", OFFSET(INDIRECT("C"&amp;$F25), 4, 0):OFFSET(INDIRECT("C"&amp;$F26), -1, 0))</f>
        <v>28.75</v>
      </c>
      <c r="O25" s="3">
        <f ca="1">SUMIF(OFFSET(INDIRECT("B"&amp;$F25), 4, 0):INDIRECT("B"&amp;$F26), "*"&amp;$O$2&amp;"*", OFFSET(INDIRECT("C"&amp;$F25), 4, 0):OFFSET(INDIRECT("C"&amp;$F26), -1, 0))</f>
        <v>38.4</v>
      </c>
      <c r="P25" s="3">
        <f ca="1">SUMIF(OFFSET(INDIRECT("B"&amp;$F25), 4, 0):INDIRECT("B"&amp;$F26), "*"&amp;$P$2&amp;"*", OFFSET(INDIRECT("C"&amp;$F25), 4, 0):OFFSET(INDIRECT("C"&amp;$F26), -1, 0))</f>
        <v>189.1</v>
      </c>
      <c r="Q25" s="3">
        <f t="shared" ca="1" si="1"/>
        <v>3024.25</v>
      </c>
      <c r="W25" s="1" t="s">
        <v>151</v>
      </c>
    </row>
    <row r="26" spans="1:23" ht="15.75" x14ac:dyDescent="0.25">
      <c r="A26" s="1">
        <f t="shared" si="0"/>
        <v>0</v>
      </c>
      <c r="B26" s="1" t="s">
        <v>3</v>
      </c>
      <c r="C26" s="1" t="s">
        <v>4</v>
      </c>
      <c r="D26" s="1" t="s">
        <v>5</v>
      </c>
      <c r="F26" s="4" cm="1">
        <f t="array" aca="1" ref="F26" ca="1">INDEX(OFFSET(INDIRECT("A"&amp;F25), 1, 0):OFFSET(OFFSET(INDIRECT("A"&amp;F25), 1, 0), 100, 0),MATCH(TRUE,INDEX(OFFSET(INDIRECT("A"&amp;F25), 1, 0):OFFSET(OFFSET(INDIRECT("A"&amp;F25), 1, 0), 100, 0)&lt;&gt;0,),0))</f>
        <v>676</v>
      </c>
      <c r="G26" s="1" t="str" cm="1">
        <f t="array" aca="1" ref="G26" ca="1">INDIRECT("B"&amp;$F26)</f>
        <v>KY</v>
      </c>
      <c r="H26" s="3" t="str" cm="1">
        <f t="array" aca="1" ref="H26" ca="1">_xlfn.IFS(COUNTIF($V$3:$V$18, G26)&lt;&gt;0, "S", COUNTIF($W$3:$W$99, G26)&lt;&gt;0, "E", COUNTIF($X$3, G26)&lt;&gt;0, "I", COUNTIF($Y$3:$Y$8, G26)&lt;&gt;0, "W")</f>
        <v>S</v>
      </c>
      <c r="I26" s="3">
        <f ca="1">SUMIF(OFFSET(INDIRECT("B"&amp;$F26), 4, 0):INDIRECT("B"&amp;$F27), "*"&amp;$I$2&amp;"*", OFFSET(INDIRECT("C"&amp;$F26), 4, 0):OFFSET(INDIRECT("C"&amp;$F27), -1, 0))</f>
        <v>1110.7</v>
      </c>
      <c r="J26" s="3">
        <f ca="1">SUMIF(OFFSET(INDIRECT("B"&amp;$F26), 4, 0):INDIRECT("B"&amp;$F27), "*"&amp;$J$2&amp;"*", OFFSET(INDIRECT("C"&amp;$F26), 4, 0):OFFSET(INDIRECT("C"&amp;$F27), -1, 0))</f>
        <v>202.32000000000002</v>
      </c>
      <c r="K26" s="3">
        <f ca="1">SUMIF(OFFSET(INDIRECT("B"&amp;$F26), 4, 0):INDIRECT("B"&amp;$F27), "*"&amp;$K$2&amp;"*", OFFSET(INDIRECT("C"&amp;$F26), 4, 0):OFFSET(INDIRECT("C"&amp;$F27), -1, 0))</f>
        <v>143.94999999999999</v>
      </c>
      <c r="L26" s="3">
        <f ca="1">SUMIF(OFFSET(INDIRECT("B"&amp;$F26), 4, 0):INDIRECT("B"&amp;$F27), "*"&amp;$L$2&amp;"*", OFFSET(INDIRECT("C"&amp;$F26), 4, 0):OFFSET(INDIRECT("C"&amp;$F27), -1, 0))</f>
        <v>481.49</v>
      </c>
      <c r="M26" s="3">
        <f ca="1">SUMIF(OFFSET(INDIRECT("B"&amp;$F26), 4, 0):INDIRECT("B"&amp;$F27), "*"&amp;$M$2&amp;"*", OFFSET(INDIRECT("C"&amp;$F26), 4, 0):OFFSET(INDIRECT("C"&amp;$F27), -1, 0))</f>
        <v>577.59999999999991</v>
      </c>
      <c r="N26" s="3">
        <f ca="1">SUMIF(OFFSET(INDIRECT("B"&amp;$F26), 4, 0):INDIRECT("B"&amp;$F27), "*"&amp;$N$2&amp;"*", OFFSET(INDIRECT("C"&amp;$F26), 4, 0):OFFSET(INDIRECT("C"&amp;$F27), -1, 0))</f>
        <v>377.89</v>
      </c>
      <c r="O26" s="3">
        <f ca="1">SUMIF(OFFSET(INDIRECT("B"&amp;$F26), 4, 0):INDIRECT("B"&amp;$F27), "*"&amp;$O$2&amp;"*", OFFSET(INDIRECT("C"&amp;$F26), 4, 0):OFFSET(INDIRECT("C"&amp;$F27), -1, 0))</f>
        <v>115.2</v>
      </c>
      <c r="P26" s="3">
        <f ca="1">SUMIF(OFFSET(INDIRECT("B"&amp;$F26), 4, 0):INDIRECT("B"&amp;$F27), "*"&amp;$P$2&amp;"*", OFFSET(INDIRECT("C"&amp;$F26), 4, 0):OFFSET(INDIRECT("C"&amp;$F27), -1, 0))</f>
        <v>1505.3</v>
      </c>
      <c r="Q26" s="3">
        <f t="shared" ca="1" si="1"/>
        <v>4514.45</v>
      </c>
      <c r="S26" s="7" t="str">
        <f>L2</f>
        <v>Elderflower</v>
      </c>
      <c r="W26" s="1" t="s">
        <v>113</v>
      </c>
    </row>
    <row r="27" spans="1:23" x14ac:dyDescent="0.25">
      <c r="A27" s="1">
        <f t="shared" si="0"/>
        <v>0</v>
      </c>
      <c r="B27" s="1" t="s">
        <v>12</v>
      </c>
      <c r="C27" s="1">
        <v>595</v>
      </c>
      <c r="D27" s="1">
        <v>17</v>
      </c>
      <c r="F27" s="4" cm="1">
        <f t="array" aca="1" ref="F27" ca="1">INDEX(OFFSET(INDIRECT("A"&amp;F26), 1, 0):OFFSET(OFFSET(INDIRECT("A"&amp;F26), 1, 0), 100, 0),MATCH(TRUE,INDEX(OFFSET(INDIRECT("A"&amp;F26), 1, 0):OFFSET(OFFSET(INDIRECT("A"&amp;F26), 1, 0), 100, 0)&lt;&gt;0,),0))</f>
        <v>722</v>
      </c>
      <c r="G27" s="1" t="str" cm="1">
        <f t="array" aca="1" ref="G27" ca="1">INDIRECT("B"&amp;$F27)</f>
        <v>PH</v>
      </c>
      <c r="H27" s="3" t="str" cm="1">
        <f t="array" aca="1" ref="H27" ca="1">_xlfn.IFS(COUNTIF($V$3:$V$18, G27)&lt;&gt;0, "S", COUNTIF($W$3:$W$99, G27)&lt;&gt;0, "E", COUNTIF($X$3, G27)&lt;&gt;0, "I", COUNTIF($Y$3:$Y$8, G27)&lt;&gt;0, "W")</f>
        <v>S</v>
      </c>
      <c r="I27" s="3">
        <f ca="1">SUMIF(OFFSET(INDIRECT("B"&amp;$F27), 4, 0):INDIRECT("B"&amp;$F28), "*"&amp;$I$2&amp;"*", OFFSET(INDIRECT("C"&amp;$F27), 4, 0):OFFSET(INDIRECT("C"&amp;$F28), -1, 0))</f>
        <v>1267.95</v>
      </c>
      <c r="J27" s="3">
        <f ca="1">SUMIF(OFFSET(INDIRECT("B"&amp;$F27), 4, 0):INDIRECT("B"&amp;$F28), "*"&amp;$J$2&amp;"*", OFFSET(INDIRECT("C"&amp;$F27), 4, 0):OFFSET(INDIRECT("C"&amp;$F28), -1, 0))</f>
        <v>78.400000000000006</v>
      </c>
      <c r="K27" s="3">
        <f ca="1">SUMIF(OFFSET(INDIRECT("B"&amp;$F27), 4, 0):INDIRECT("B"&amp;$F28), "*"&amp;$K$2&amp;"*", OFFSET(INDIRECT("C"&amp;$F27), 4, 0):OFFSET(INDIRECT("C"&amp;$F28), -1, 0))</f>
        <v>155.19999999999999</v>
      </c>
      <c r="L27" s="3">
        <f ca="1">SUMIF(OFFSET(INDIRECT("B"&amp;$F27), 4, 0):INDIRECT("B"&amp;$F28), "*"&amp;$L$2&amp;"*", OFFSET(INDIRECT("C"&amp;$F27), 4, 0):OFFSET(INDIRECT("C"&amp;$F28), -1, 0))</f>
        <v>432.54999999999995</v>
      </c>
      <c r="M27" s="3">
        <f ca="1">SUMIF(OFFSET(INDIRECT("B"&amp;$F27), 4, 0):INDIRECT("B"&amp;$F28), "*"&amp;$M$2&amp;"*", OFFSET(INDIRECT("C"&amp;$F27), 4, 0):OFFSET(INDIRECT("C"&amp;$F28), -1, 0))</f>
        <v>412.79999999999995</v>
      </c>
      <c r="N27" s="3">
        <f ca="1">SUMIF(OFFSET(INDIRECT("B"&amp;$F27), 4, 0):INDIRECT("B"&amp;$F28), "*"&amp;$N$2&amp;"*", OFFSET(INDIRECT("C"&amp;$F27), 4, 0):OFFSET(INDIRECT("C"&amp;$F28), -1, 0))</f>
        <v>92.06</v>
      </c>
      <c r="O27" s="3">
        <f ca="1">SUMIF(OFFSET(INDIRECT("B"&amp;$F27), 4, 0):INDIRECT("B"&amp;$F28), "*"&amp;$O$2&amp;"*", OFFSET(INDIRECT("C"&amp;$F27), 4, 0):OFFSET(INDIRECT("C"&amp;$F28), -1, 0))</f>
        <v>116.8</v>
      </c>
      <c r="P27" s="3">
        <f ca="1">SUMIF(OFFSET(INDIRECT("B"&amp;$F27), 4, 0):INDIRECT("B"&amp;$F28), "*"&amp;$P$2&amp;"*", OFFSET(INDIRECT("C"&amp;$F27), 4, 0):OFFSET(INDIRECT("C"&amp;$F28), -1, 0))</f>
        <v>883.05</v>
      </c>
      <c r="Q27" s="3">
        <f t="shared" ca="1" si="1"/>
        <v>3438.8100000000004</v>
      </c>
      <c r="S27" s="1" t="s">
        <v>217</v>
      </c>
      <c r="T27" s="1" t="s">
        <v>4</v>
      </c>
      <c r="W27" s="1" t="s">
        <v>179</v>
      </c>
    </row>
    <row r="28" spans="1:23" x14ac:dyDescent="0.25">
      <c r="A28" s="1">
        <f t="shared" si="0"/>
        <v>0</v>
      </c>
      <c r="B28" s="1" t="s">
        <v>21</v>
      </c>
      <c r="C28" s="1">
        <v>383.6</v>
      </c>
      <c r="D28" s="1">
        <v>7</v>
      </c>
      <c r="F28" s="4" cm="1">
        <f t="array" aca="1" ref="F28" ca="1">INDEX(OFFSET(INDIRECT("A"&amp;F27), 1, 0):OFFSET(OFFSET(INDIRECT("A"&amp;F27), 1, 0), 100, 0),MATCH(TRUE,INDEX(OFFSET(INDIRECT("A"&amp;F27), 1, 0):OFFSET(OFFSET(INDIRECT("A"&amp;F27), 1, 0), 100, 0)&lt;&gt;0,),0))</f>
        <v>760</v>
      </c>
      <c r="G28" s="1" t="str" cm="1">
        <f t="array" aca="1" ref="G28" ca="1">INDIRECT("B"&amp;$F28)</f>
        <v>SP</v>
      </c>
      <c r="H28" s="3" t="str" cm="1">
        <f t="array" aca="1" ref="H28" ca="1">_xlfn.IFS(COUNTIF($V$3:$V$18, G28)&lt;&gt;0, "S", COUNTIF($W$3:$W$99, G28)&lt;&gt;0, "E", COUNTIF($X$3, G28)&lt;&gt;0, "I", COUNTIF($Y$3:$Y$8, G28)&lt;&gt;0, "W")</f>
        <v>E</v>
      </c>
      <c r="I28" s="3">
        <f ca="1">SUMIF(OFFSET(INDIRECT("B"&amp;$F28), 4, 0):INDIRECT("B"&amp;$F29), "*"&amp;$I$2&amp;"*", OFFSET(INDIRECT("C"&amp;$F28), 4, 0):OFFSET(INDIRECT("C"&amp;$F29), -1, 0))</f>
        <v>516</v>
      </c>
      <c r="J28" s="3">
        <f ca="1">SUMIF(OFFSET(INDIRECT("B"&amp;$F28), 4, 0):INDIRECT("B"&amp;$F29), "*"&amp;$J$2&amp;"*", OFFSET(INDIRECT("C"&amp;$F28), 4, 0):OFFSET(INDIRECT("C"&amp;$F29), -1, 0))</f>
        <v>0</v>
      </c>
      <c r="K28" s="3">
        <f ca="1">SUMIF(OFFSET(INDIRECT("B"&amp;$F28), 4, 0):INDIRECT("B"&amp;$F29), "*"&amp;$K$2&amp;"*", OFFSET(INDIRECT("C"&amp;$F28), 4, 0):OFFSET(INDIRECT("C"&amp;$F29), -1, 0))</f>
        <v>28.75</v>
      </c>
      <c r="L28" s="3">
        <f ca="1">SUMIF(OFFSET(INDIRECT("B"&amp;$F28), 4, 0):INDIRECT("B"&amp;$F29), "*"&amp;$L$2&amp;"*", OFFSET(INDIRECT("C"&amp;$F28), 4, 0):OFFSET(INDIRECT("C"&amp;$F29), -1, 0))</f>
        <v>0</v>
      </c>
      <c r="M28" s="3">
        <f ca="1">SUMIF(OFFSET(INDIRECT("B"&amp;$F28), 4, 0):INDIRECT("B"&amp;$F29), "*"&amp;$M$2&amp;"*", OFFSET(INDIRECT("C"&amp;$F28), 4, 0):OFFSET(INDIRECT("C"&amp;$F29), -1, 0))</f>
        <v>64</v>
      </c>
      <c r="N28" s="3">
        <f ca="1">SUMIF(OFFSET(INDIRECT("B"&amp;$F28), 4, 0):INDIRECT("B"&amp;$F29), "*"&amp;$N$2&amp;"*", OFFSET(INDIRECT("C"&amp;$F28), 4, 0):OFFSET(INDIRECT("C"&amp;$F29), -1, 0))</f>
        <v>0</v>
      </c>
      <c r="O28" s="3">
        <f ca="1">SUMIF(OFFSET(INDIRECT("B"&amp;$F28), 4, 0):INDIRECT("B"&amp;$F29), "*"&amp;$O$2&amp;"*", OFFSET(INDIRECT("C"&amp;$F28), 4, 0):OFFSET(INDIRECT("C"&amp;$F29), -1, 0))</f>
        <v>0</v>
      </c>
      <c r="P28" s="3">
        <f ca="1">SUMIF(OFFSET(INDIRECT("B"&amp;$F28), 4, 0):INDIRECT("B"&amp;$F29), "*"&amp;$P$2&amp;"*", OFFSET(INDIRECT("C"&amp;$F28), 4, 0):OFFSET(INDIRECT("C"&amp;$F29), -1, 0))</f>
        <v>167.1</v>
      </c>
      <c r="Q28" s="3">
        <f t="shared" ca="1" si="1"/>
        <v>775.85</v>
      </c>
      <c r="S28" s="1" t="s">
        <v>197</v>
      </c>
      <c r="T28" s="3">
        <f ca="1">SUMIF($H$3:$H$120, "E", $L$3:$L$120)</f>
        <v>9759.8999999999978</v>
      </c>
      <c r="W28" s="1" t="s">
        <v>163</v>
      </c>
    </row>
    <row r="29" spans="1:23" x14ac:dyDescent="0.25">
      <c r="A29" s="1">
        <f t="shared" si="0"/>
        <v>0</v>
      </c>
      <c r="B29" s="1" t="s">
        <v>25</v>
      </c>
      <c r="C29" s="1">
        <v>80</v>
      </c>
      <c r="D29" s="1">
        <v>2</v>
      </c>
      <c r="F29" s="4" cm="1">
        <f t="array" aca="1" ref="F29" ca="1">INDEX(OFFSET(INDIRECT("A"&amp;F28), 1, 0):OFFSET(OFFSET(INDIRECT("A"&amp;F28), 1, 0), 100, 0),MATCH(TRUE,INDEX(OFFSET(INDIRECT("A"&amp;F28), 1, 0):OFFSET(OFFSET(INDIRECT("A"&amp;F28), 1, 0), 100, 0)&lt;&gt;0,),0))</f>
        <v>776</v>
      </c>
      <c r="G29" s="1" t="str" cm="1">
        <f t="array" aca="1" ref="G29" ca="1">INDIRECT("B"&amp;$F29)</f>
        <v>FK</v>
      </c>
      <c r="H29" s="3" t="str" cm="1">
        <f t="array" aca="1" ref="H29" ca="1">_xlfn.IFS(COUNTIF($V$3:$V$18, G29)&lt;&gt;0, "S", COUNTIF($W$3:$W$99, G29)&lt;&gt;0, "E", COUNTIF($X$3, G29)&lt;&gt;0, "I", COUNTIF($Y$3:$Y$8, G29)&lt;&gt;0, "W")</f>
        <v>S</v>
      </c>
      <c r="I29" s="3">
        <f ca="1">SUMIF(OFFSET(INDIRECT("B"&amp;$F29), 4, 0):INDIRECT("B"&amp;$F30), "*"&amp;$I$2&amp;"*", OFFSET(INDIRECT("C"&amp;$F29), 4, 0):OFFSET(INDIRECT("C"&amp;$F30), -1, 0))</f>
        <v>974.69999999999993</v>
      </c>
      <c r="J29" s="3">
        <f ca="1">SUMIF(OFFSET(INDIRECT("B"&amp;$F29), 4, 0):INDIRECT("B"&amp;$F30), "*"&amp;$J$2&amp;"*", OFFSET(INDIRECT("C"&amp;$F29), 4, 0):OFFSET(INDIRECT("C"&amp;$F30), -1, 0))</f>
        <v>478.4</v>
      </c>
      <c r="K29" s="3">
        <f ca="1">SUMIF(OFFSET(INDIRECT("B"&amp;$F29), 4, 0):INDIRECT("B"&amp;$F30), "*"&amp;$K$2&amp;"*", OFFSET(INDIRECT("C"&amp;$F29), 4, 0):OFFSET(INDIRECT("C"&amp;$F30), -1, 0))</f>
        <v>93.199999999999989</v>
      </c>
      <c r="L29" s="3">
        <f ca="1">SUMIF(OFFSET(INDIRECT("B"&amp;$F29), 4, 0):INDIRECT("B"&amp;$F30), "*"&amp;$L$2&amp;"*", OFFSET(INDIRECT("C"&amp;$F29), 4, 0):OFFSET(INDIRECT("C"&amp;$F30), -1, 0))</f>
        <v>233.1</v>
      </c>
      <c r="M29" s="3">
        <f ca="1">SUMIF(OFFSET(INDIRECT("B"&amp;$F29), 4, 0):INDIRECT("B"&amp;$F30), "*"&amp;$M$2&amp;"*", OFFSET(INDIRECT("C"&amp;$F29), 4, 0):OFFSET(INDIRECT("C"&amp;$F30), -1, 0))</f>
        <v>429.2</v>
      </c>
      <c r="N29" s="3">
        <f ca="1">SUMIF(OFFSET(INDIRECT("B"&amp;$F29), 4, 0):INDIRECT("B"&amp;$F30), "*"&amp;$N$2&amp;"*", OFFSET(INDIRECT("C"&amp;$F29), 4, 0):OFFSET(INDIRECT("C"&amp;$F30), -1, 0))</f>
        <v>0</v>
      </c>
      <c r="O29" s="3">
        <f ca="1">SUMIF(OFFSET(INDIRECT("B"&amp;$F29), 4, 0):INDIRECT("B"&amp;$F30), "*"&amp;$O$2&amp;"*", OFFSET(INDIRECT("C"&amp;$F29), 4, 0):OFFSET(INDIRECT("C"&amp;$F30), -1, 0))</f>
        <v>0</v>
      </c>
      <c r="P29" s="3">
        <f ca="1">SUMIF(OFFSET(INDIRECT("B"&amp;$F29), 4, 0):INDIRECT("B"&amp;$F30), "*"&amp;$P$2&amp;"*", OFFSET(INDIRECT("C"&amp;$F29), 4, 0):OFFSET(INDIRECT("C"&amp;$F30), -1, 0))</f>
        <v>1209.8</v>
      </c>
      <c r="Q29" s="3">
        <f t="shared" ca="1" si="1"/>
        <v>3418.3999999999996</v>
      </c>
      <c r="S29" s="1" t="s">
        <v>198</v>
      </c>
      <c r="T29" s="3">
        <f ca="1">SUMIF($H$3:$H$120, "S", $L$3:$L$120)</f>
        <v>7778.6399999999994</v>
      </c>
      <c r="W29" s="1" t="s">
        <v>46</v>
      </c>
    </row>
    <row r="30" spans="1:23" x14ac:dyDescent="0.25">
      <c r="A30" s="1">
        <f t="shared" si="0"/>
        <v>0</v>
      </c>
      <c r="B30" s="1" t="s">
        <v>20</v>
      </c>
      <c r="C30" s="1">
        <v>230.4</v>
      </c>
      <c r="D30" s="1">
        <v>7</v>
      </c>
      <c r="F30" s="4" cm="1">
        <f t="array" aca="1" ref="F30" ca="1">INDEX(OFFSET(INDIRECT("A"&amp;F29), 1, 0):OFFSET(OFFSET(INDIRECT("A"&amp;F29), 1, 0), 100, 0),MATCH(TRUE,INDEX(OFFSET(INDIRECT("A"&amp;F29), 1, 0):OFFSET(OFFSET(INDIRECT("A"&amp;F29), 1, 0), 100, 0)&lt;&gt;0,),0))</f>
        <v>810</v>
      </c>
      <c r="G30" s="1" t="str" cm="1">
        <f t="array" aca="1" ref="G30" ca="1">INDIRECT("B"&amp;$F30)</f>
        <v>DG</v>
      </c>
      <c r="H30" s="3" t="str" cm="1">
        <f t="array" aca="1" ref="H30" ca="1">_xlfn.IFS(COUNTIF($V$3:$V$18, G30)&lt;&gt;0, "S", COUNTIF($W$3:$W$99, G30)&lt;&gt;0, "E", COUNTIF($X$3, G30)&lt;&gt;0, "I", COUNTIF($Y$3:$Y$8, G30)&lt;&gt;0, "W")</f>
        <v>S</v>
      </c>
      <c r="I30" s="3">
        <f ca="1">SUMIF(OFFSET(INDIRECT("B"&amp;$F30), 4, 0):INDIRECT("B"&amp;$F31), "*"&amp;$I$2&amp;"*", OFFSET(INDIRECT("C"&amp;$F30), 4, 0):OFFSET(INDIRECT("C"&amp;$F31), -1, 0))</f>
        <v>1182.7</v>
      </c>
      <c r="J30" s="3">
        <f ca="1">SUMIF(OFFSET(INDIRECT("B"&amp;$F30), 4, 0):INDIRECT("B"&amp;$F31), "*"&amp;$J$2&amp;"*", OFFSET(INDIRECT("C"&amp;$F30), 4, 0):OFFSET(INDIRECT("C"&amp;$F31), -1, 0))</f>
        <v>285.2</v>
      </c>
      <c r="K30" s="3">
        <f ca="1">SUMIF(OFFSET(INDIRECT("B"&amp;$F30), 4, 0):INDIRECT("B"&amp;$F31), "*"&amp;$K$2&amp;"*", OFFSET(INDIRECT("C"&amp;$F30), 4, 0):OFFSET(INDIRECT("C"&amp;$F31), -1, 0))</f>
        <v>38.4</v>
      </c>
      <c r="L30" s="3">
        <f ca="1">SUMIF(OFFSET(INDIRECT("B"&amp;$F30), 4, 0):INDIRECT("B"&amp;$F31), "*"&amp;$L$2&amp;"*", OFFSET(INDIRECT("C"&amp;$F30), 4, 0):OFFSET(INDIRECT("C"&amp;$F31), -1, 0))</f>
        <v>99.9</v>
      </c>
      <c r="M30" s="3">
        <f ca="1">SUMIF(OFFSET(INDIRECT("B"&amp;$F30), 4, 0):INDIRECT("B"&amp;$F31), "*"&amp;$M$2&amp;"*", OFFSET(INDIRECT("C"&amp;$F30), 4, 0):OFFSET(INDIRECT("C"&amp;$F31), -1, 0))</f>
        <v>131.6</v>
      </c>
      <c r="N30" s="3">
        <f ca="1">SUMIF(OFFSET(INDIRECT("B"&amp;$F30), 4, 0):INDIRECT("B"&amp;$F31), "*"&amp;$N$2&amp;"*", OFFSET(INDIRECT("C"&amp;$F30), 4, 0):OFFSET(INDIRECT("C"&amp;$F31), -1, 0))</f>
        <v>168.86</v>
      </c>
      <c r="O30" s="3">
        <f ca="1">SUMIF(OFFSET(INDIRECT("B"&amp;$F30), 4, 0):INDIRECT("B"&amp;$F31), "*"&amp;$O$2&amp;"*", OFFSET(INDIRECT("C"&amp;$F30), 4, 0):OFFSET(INDIRECT("C"&amp;$F31), -1, 0))</f>
        <v>256</v>
      </c>
      <c r="P30" s="3">
        <f ca="1">SUMIF(OFFSET(INDIRECT("B"&amp;$F30), 4, 0):INDIRECT("B"&amp;$F31), "*"&amp;$P$2&amp;"*", OFFSET(INDIRECT("C"&amp;$F30), 4, 0):OFFSET(INDIRECT("C"&amp;$F31), -1, 0))</f>
        <v>2151.15</v>
      </c>
      <c r="Q30" s="3">
        <f t="shared" ca="1" si="1"/>
        <v>4313.8100000000004</v>
      </c>
      <c r="S30" s="1" t="s">
        <v>205</v>
      </c>
      <c r="T30" s="3">
        <f ca="1">SUMIF($H$3:$H$120, "I", $L$3:$L$120)</f>
        <v>109.19</v>
      </c>
      <c r="W30" s="1" t="s">
        <v>150</v>
      </c>
    </row>
    <row r="31" spans="1:23" x14ac:dyDescent="0.25">
      <c r="A31" s="1">
        <f t="shared" si="0"/>
        <v>0</v>
      </c>
      <c r="B31" s="1" t="s">
        <v>9</v>
      </c>
      <c r="C31" s="1">
        <v>219.2</v>
      </c>
      <c r="D31" s="1">
        <v>4</v>
      </c>
      <c r="F31" s="4" cm="1">
        <f t="array" aca="1" ref="F31" ca="1">INDEX(OFFSET(INDIRECT("A"&amp;F30), 1, 0):OFFSET(OFFSET(INDIRECT("A"&amp;F30), 1, 0), 100, 0),MATCH(TRUE,INDEX(OFFSET(INDIRECT("A"&amp;F30), 1, 0):OFFSET(OFFSET(INDIRECT("A"&amp;F30), 1, 0), 100, 0)&lt;&gt;0,),0))</f>
        <v>845</v>
      </c>
      <c r="G31" s="1" t="str" cm="1">
        <f t="array" aca="1" ref="G31" ca="1">INDIRECT("B"&amp;$F31)</f>
        <v>TA</v>
      </c>
      <c r="H31" s="3" t="str" cm="1">
        <f t="array" aca="1" ref="H31" ca="1">_xlfn.IFS(COUNTIF($V$3:$V$18, G31)&lt;&gt;0, "S", COUNTIF($W$3:$W$99, G31)&lt;&gt;0, "E", COUNTIF($X$3, G31)&lt;&gt;0, "I", COUNTIF($Y$3:$Y$8, G31)&lt;&gt;0, "W")</f>
        <v>E</v>
      </c>
      <c r="I31" s="3">
        <f ca="1">SUMIF(OFFSET(INDIRECT("B"&amp;$F31), 4, 0):INDIRECT("B"&amp;$F32), "*"&amp;$I$2&amp;"*", OFFSET(INDIRECT("C"&amp;$F31), 4, 0):OFFSET(INDIRECT("C"&amp;$F32), -1, 0))</f>
        <v>790.8</v>
      </c>
      <c r="J31" s="3">
        <f ca="1">SUMIF(OFFSET(INDIRECT("B"&amp;$F31), 4, 0):INDIRECT("B"&amp;$F32), "*"&amp;$J$2&amp;"*", OFFSET(INDIRECT("C"&amp;$F31), 4, 0):OFFSET(INDIRECT("C"&amp;$F32), -1, 0))</f>
        <v>0</v>
      </c>
      <c r="K31" s="3">
        <f ca="1">SUMIF(OFFSET(INDIRECT("B"&amp;$F31), 4, 0):INDIRECT("B"&amp;$F32), "*"&amp;$K$2&amp;"*", OFFSET(INDIRECT("C"&amp;$F31), 4, 0):OFFSET(INDIRECT("C"&amp;$F32), -1, 0))</f>
        <v>0</v>
      </c>
      <c r="L31" s="3">
        <f ca="1">SUMIF(OFFSET(INDIRECT("B"&amp;$F31), 4, 0):INDIRECT("B"&amp;$F32), "*"&amp;$L$2&amp;"*", OFFSET(INDIRECT("C"&amp;$F31), 4, 0):OFFSET(INDIRECT("C"&amp;$F32), -1, 0))</f>
        <v>109.6</v>
      </c>
      <c r="M31" s="3">
        <f ca="1">SUMIF(OFFSET(INDIRECT("B"&amp;$F31), 4, 0):INDIRECT("B"&amp;$F32), "*"&amp;$M$2&amp;"*", OFFSET(INDIRECT("C"&amp;$F31), 4, 0):OFFSET(INDIRECT("C"&amp;$F32), -1, 0))</f>
        <v>0</v>
      </c>
      <c r="N31" s="3">
        <f ca="1">SUMIF(OFFSET(INDIRECT("B"&amp;$F31), 4, 0):INDIRECT("B"&amp;$F32), "*"&amp;$N$2&amp;"*", OFFSET(INDIRECT("C"&amp;$F31), 4, 0):OFFSET(INDIRECT("C"&amp;$F32), -1, 0))</f>
        <v>0</v>
      </c>
      <c r="O31" s="3">
        <f ca="1">SUMIF(OFFSET(INDIRECT("B"&amp;$F31), 4, 0):INDIRECT("B"&amp;$F32), "*"&amp;$O$2&amp;"*", OFFSET(INDIRECT("C"&amp;$F31), 4, 0):OFFSET(INDIRECT("C"&amp;$F32), -1, 0))</f>
        <v>0</v>
      </c>
      <c r="P31" s="3">
        <f ca="1">SUMIF(OFFSET(INDIRECT("B"&amp;$F31), 4, 0):INDIRECT("B"&amp;$F32), "*"&amp;$P$2&amp;"*", OFFSET(INDIRECT("C"&amp;$F31), 4, 0):OFFSET(INDIRECT("C"&amp;$F32), -1, 0))</f>
        <v>220.75</v>
      </c>
      <c r="Q31" s="3">
        <f t="shared" ca="1" si="1"/>
        <v>1121.1500000000001</v>
      </c>
      <c r="S31" s="1" t="s">
        <v>206</v>
      </c>
      <c r="T31" s="3">
        <f ca="1">SUMIF($H$3:$H$120, "W", $L$3:$L$120)</f>
        <v>582.32999999999993</v>
      </c>
      <c r="W31" s="1" t="s">
        <v>186</v>
      </c>
    </row>
    <row r="32" spans="1:23" x14ac:dyDescent="0.25">
      <c r="A32" s="1">
        <f t="shared" si="0"/>
        <v>0</v>
      </c>
      <c r="B32" s="1" t="s">
        <v>26</v>
      </c>
      <c r="C32" s="1">
        <v>75</v>
      </c>
      <c r="D32" s="1">
        <v>2</v>
      </c>
      <c r="F32" s="4" cm="1">
        <f t="array" aca="1" ref="F32" ca="1">INDEX(OFFSET(INDIRECT("A"&amp;F31), 1, 0):OFFSET(OFFSET(INDIRECT("A"&amp;F31), 1, 0), 100, 0),MATCH(TRUE,INDEX(OFFSET(INDIRECT("A"&amp;F31), 1, 0):OFFSET(OFFSET(INDIRECT("A"&amp;F31), 1, 0), 100, 0)&lt;&gt;0,),0))</f>
        <v>860</v>
      </c>
      <c r="G32" s="1" t="str" cm="1">
        <f t="array" aca="1" ref="G32" ca="1">INDIRECT("B"&amp;$F32)</f>
        <v>BS</v>
      </c>
      <c r="H32" s="3" t="str" cm="1">
        <f t="array" aca="1" ref="H32" ca="1">_xlfn.IFS(COUNTIF($V$3:$V$18, G32)&lt;&gt;0, "S", COUNTIF($W$3:$W$99, G32)&lt;&gt;0, "E", COUNTIF($X$3, G32)&lt;&gt;0, "I", COUNTIF($Y$3:$Y$8, G32)&lt;&gt;0, "W")</f>
        <v>E</v>
      </c>
      <c r="I32" s="3">
        <f ca="1">SUMIF(OFFSET(INDIRECT("B"&amp;$F32), 4, 0):INDIRECT("B"&amp;$F33), "*"&amp;$I$2&amp;"*", OFFSET(INDIRECT("C"&amp;$F32), 4, 0):OFFSET(INDIRECT("C"&amp;$F33), -1, 0))</f>
        <v>2472</v>
      </c>
      <c r="J32" s="3">
        <f ca="1">SUMIF(OFFSET(INDIRECT("B"&amp;$F32), 4, 0):INDIRECT("B"&amp;$F33), "*"&amp;$J$2&amp;"*", OFFSET(INDIRECT("C"&amp;$F32), 4, 0):OFFSET(INDIRECT("C"&amp;$F33), -1, 0))</f>
        <v>54.8</v>
      </c>
      <c r="K32" s="3">
        <f ca="1">SUMIF(OFFSET(INDIRECT("B"&amp;$F32), 4, 0):INDIRECT("B"&amp;$F33), "*"&amp;$K$2&amp;"*", OFFSET(INDIRECT("C"&amp;$F32), 4, 0):OFFSET(INDIRECT("C"&amp;$F33), -1, 0))</f>
        <v>0</v>
      </c>
      <c r="L32" s="3">
        <f ca="1">SUMIF(OFFSET(INDIRECT("B"&amp;$F32), 4, 0):INDIRECT("B"&amp;$F33), "*"&amp;$L$2&amp;"*", OFFSET(INDIRECT("C"&amp;$F32), 4, 0):OFFSET(INDIRECT("C"&amp;$F33), -1, 0))</f>
        <v>170</v>
      </c>
      <c r="M32" s="3">
        <f ca="1">SUMIF(OFFSET(INDIRECT("B"&amp;$F32), 4, 0):INDIRECT("B"&amp;$F33), "*"&amp;$M$2&amp;"*", OFFSET(INDIRECT("C"&amp;$F32), 4, 0):OFFSET(INDIRECT("C"&amp;$F33), -1, 0))</f>
        <v>94.8</v>
      </c>
      <c r="N32" s="3">
        <f ca="1">SUMIF(OFFSET(INDIRECT("B"&amp;$F32), 4, 0):INDIRECT("B"&amp;$F33), "*"&amp;$N$2&amp;"*", OFFSET(INDIRECT("C"&amp;$F32), 4, 0):OFFSET(INDIRECT("C"&amp;$F33), -1, 0))</f>
        <v>67.150000000000006</v>
      </c>
      <c r="O32" s="3">
        <f ca="1">SUMIF(OFFSET(INDIRECT("B"&amp;$F32), 4, 0):INDIRECT("B"&amp;$F33), "*"&amp;$O$2&amp;"*", OFFSET(INDIRECT("C"&amp;$F32), 4, 0):OFFSET(INDIRECT("C"&amp;$F33), -1, 0))</f>
        <v>156.80000000000001</v>
      </c>
      <c r="P32" s="3">
        <f ca="1">SUMIF(OFFSET(INDIRECT("B"&amp;$F32), 4, 0):INDIRECT("B"&amp;$F33), "*"&amp;$P$2&amp;"*", OFFSET(INDIRECT("C"&amp;$F32), 4, 0):OFFSET(INDIRECT("C"&amp;$F33), -1, 0))</f>
        <v>723.8</v>
      </c>
      <c r="Q32" s="3">
        <f t="shared" ca="1" si="1"/>
        <v>3739.3500000000004</v>
      </c>
      <c r="S32" s="1" t="s">
        <v>215</v>
      </c>
      <c r="T32" s="3">
        <f ca="1">SUM(T28:T31)</f>
        <v>18230.059999999998</v>
      </c>
      <c r="W32" s="1" t="s">
        <v>175</v>
      </c>
    </row>
    <row r="33" spans="1:23" x14ac:dyDescent="0.25">
      <c r="A33" s="1">
        <f t="shared" si="0"/>
        <v>0</v>
      </c>
      <c r="B33" s="1" t="s">
        <v>17</v>
      </c>
      <c r="C33" s="1">
        <v>422.4</v>
      </c>
      <c r="D33" s="1">
        <v>11</v>
      </c>
      <c r="F33" s="4" cm="1">
        <f t="array" aca="1" ref="F33" ca="1">INDEX(OFFSET(INDIRECT("A"&amp;F32), 1, 0):OFFSET(OFFSET(INDIRECT("A"&amp;F32), 1, 0), 100, 0),MATCH(TRUE,INDEX(OFFSET(INDIRECT("A"&amp;F32), 1, 0):OFFSET(OFFSET(INDIRECT("A"&amp;F32), 1, 0), 100, 0)&lt;&gt;0,),0))</f>
        <v>890</v>
      </c>
      <c r="G33" s="1" t="str" cm="1">
        <f t="array" aca="1" ref="G33" ca="1">INDIRECT("B"&amp;$F33)</f>
        <v>SG</v>
      </c>
      <c r="H33" s="3" t="str" cm="1">
        <f t="array" aca="1" ref="H33" ca="1">_xlfn.IFS(COUNTIF($V$3:$V$18, G33)&lt;&gt;0, "S", COUNTIF($W$3:$W$99, G33)&lt;&gt;0, "E", COUNTIF($X$3, G33)&lt;&gt;0, "I", COUNTIF($Y$3:$Y$8, G33)&lt;&gt;0, "W")</f>
        <v>E</v>
      </c>
      <c r="I33" s="3">
        <f ca="1">SUMIF(OFFSET(INDIRECT("B"&amp;$F33), 4, 0):INDIRECT("B"&amp;$F34), "*"&amp;$I$2&amp;"*", OFFSET(INDIRECT("C"&amp;$F33), 4, 0):OFFSET(INDIRECT("C"&amp;$F34), -1, 0))</f>
        <v>405.6</v>
      </c>
      <c r="J33" s="3">
        <f ca="1">SUMIF(OFFSET(INDIRECT("B"&amp;$F33), 4, 0):INDIRECT("B"&amp;$F34), "*"&amp;$J$2&amp;"*", OFFSET(INDIRECT("C"&amp;$F33), 4, 0):OFFSET(INDIRECT("C"&amp;$F34), -1, 0))</f>
        <v>0</v>
      </c>
      <c r="K33" s="3">
        <f ca="1">SUMIF(OFFSET(INDIRECT("B"&amp;$F33), 4, 0):INDIRECT("B"&amp;$F34), "*"&amp;$K$2&amp;"*", OFFSET(INDIRECT("C"&amp;$F33), 4, 0):OFFSET(INDIRECT("C"&amp;$F34), -1, 0))</f>
        <v>0</v>
      </c>
      <c r="L33" s="3">
        <f ca="1">SUMIF(OFFSET(INDIRECT("B"&amp;$F33), 4, 0):INDIRECT("B"&amp;$F34), "*"&amp;$L$2&amp;"*", OFFSET(INDIRECT("C"&amp;$F33), 4, 0):OFFSET(INDIRECT("C"&amp;$F34), -1, 0))</f>
        <v>76.8</v>
      </c>
      <c r="M33" s="3">
        <f ca="1">SUMIF(OFFSET(INDIRECT("B"&amp;$F33), 4, 0):INDIRECT("B"&amp;$F34), "*"&amp;$M$2&amp;"*", OFFSET(INDIRECT("C"&amp;$F33), 4, 0):OFFSET(INDIRECT("C"&amp;$F34), -1, 0))</f>
        <v>0</v>
      </c>
      <c r="N33" s="3">
        <f ca="1">SUMIF(OFFSET(INDIRECT("B"&amp;$F33), 4, 0):INDIRECT("B"&amp;$F34), "*"&amp;$N$2&amp;"*", OFFSET(INDIRECT("C"&amp;$F33), 4, 0):OFFSET(INDIRECT("C"&amp;$F34), -1, 0))</f>
        <v>28.75</v>
      </c>
      <c r="O33" s="3">
        <f ca="1">SUMIF(OFFSET(INDIRECT("B"&amp;$F33), 4, 0):INDIRECT("B"&amp;$F34), "*"&amp;$O$2&amp;"*", OFFSET(INDIRECT("C"&amp;$F33), 4, 0):OFFSET(INDIRECT("C"&amp;$F34), -1, 0))</f>
        <v>0</v>
      </c>
      <c r="P33" s="3">
        <f ca="1">SUMIF(OFFSET(INDIRECT("B"&amp;$F33), 4, 0):INDIRECT("B"&amp;$F34), "*"&amp;$P$2&amp;"*", OFFSET(INDIRECT("C"&amp;$F33), 4, 0):OFFSET(INDIRECT("C"&amp;$F34), -1, 0))</f>
        <v>452.3</v>
      </c>
      <c r="Q33" s="3">
        <f t="shared" ca="1" si="1"/>
        <v>963.45</v>
      </c>
      <c r="W33" s="1" t="s">
        <v>105</v>
      </c>
    </row>
    <row r="34" spans="1:23" ht="15.75" x14ac:dyDescent="0.25">
      <c r="A34" s="1">
        <f t="shared" si="0"/>
        <v>0</v>
      </c>
      <c r="B34" s="1" t="s">
        <v>27</v>
      </c>
      <c r="C34" s="1">
        <v>230.4</v>
      </c>
      <c r="D34" s="1">
        <v>11</v>
      </c>
      <c r="F34" s="4" cm="1">
        <f t="array" aca="1" ref="F34" ca="1">INDEX(OFFSET(INDIRECT("A"&amp;F33), 1, 0):OFFSET(OFFSET(INDIRECT("A"&amp;F33), 1, 0), 100, 0),MATCH(TRUE,INDEX(OFFSET(INDIRECT("A"&amp;F33), 1, 0):OFFSET(OFFSET(INDIRECT("A"&amp;F33), 1, 0), 100, 0)&lt;&gt;0,),0))</f>
        <v>904</v>
      </c>
      <c r="G34" s="1" t="str" cm="1">
        <f t="array" aca="1" ref="G34" ca="1">INDIRECT("B"&amp;$F34)</f>
        <v>ML</v>
      </c>
      <c r="H34" s="3" t="str" cm="1">
        <f t="array" aca="1" ref="H34" ca="1">_xlfn.IFS(COUNTIF($V$3:$V$18, G34)&lt;&gt;0, "S", COUNTIF($W$3:$W$99, G34)&lt;&gt;0, "E", COUNTIF($X$3, G34)&lt;&gt;0, "I", COUNTIF($Y$3:$Y$8, G34)&lt;&gt;0, "W")</f>
        <v>S</v>
      </c>
      <c r="I34" s="3">
        <f ca="1">SUMIF(OFFSET(INDIRECT("B"&amp;$F34), 4, 0):INDIRECT("B"&amp;$F35), "*"&amp;$I$2&amp;"*", OFFSET(INDIRECT("C"&amp;$F34), 4, 0):OFFSET(INDIRECT("C"&amp;$F35), -1, 0))</f>
        <v>1373.15</v>
      </c>
      <c r="J34" s="3">
        <f ca="1">SUMIF(OFFSET(INDIRECT("B"&amp;$F34), 4, 0):INDIRECT("B"&amp;$F35), "*"&amp;$J$2&amp;"*", OFFSET(INDIRECT("C"&amp;$F34), 4, 0):OFFSET(INDIRECT("C"&amp;$F35), -1, 0))</f>
        <v>64</v>
      </c>
      <c r="K34" s="3">
        <f ca="1">SUMIF(OFFSET(INDIRECT("B"&amp;$F34), 4, 0):INDIRECT("B"&amp;$F35), "*"&amp;$K$2&amp;"*", OFFSET(INDIRECT("C"&amp;$F34), 4, 0):OFFSET(INDIRECT("C"&amp;$F35), -1, 0))</f>
        <v>269.95</v>
      </c>
      <c r="L34" s="3">
        <f ca="1">SUMIF(OFFSET(INDIRECT("B"&amp;$F34), 4, 0):INDIRECT("B"&amp;$F35), "*"&amp;$L$2&amp;"*", OFFSET(INDIRECT("C"&amp;$F34), 4, 0):OFFSET(INDIRECT("C"&amp;$F35), -1, 0))</f>
        <v>291.14999999999998</v>
      </c>
      <c r="M34" s="3">
        <f ca="1">SUMIF(OFFSET(INDIRECT("B"&amp;$F34), 4, 0):INDIRECT("B"&amp;$F35), "*"&amp;$M$2&amp;"*", OFFSET(INDIRECT("C"&amp;$F34), 4, 0):OFFSET(INDIRECT("C"&amp;$F35), -1, 0))</f>
        <v>328.8</v>
      </c>
      <c r="N34" s="3">
        <f ca="1">SUMIF(OFFSET(INDIRECT("B"&amp;$F34), 4, 0):INDIRECT("B"&amp;$F35), "*"&amp;$N$2&amp;"*", OFFSET(INDIRECT("C"&amp;$F34), 4, 0):OFFSET(INDIRECT("C"&amp;$F35), -1, 0))</f>
        <v>67.150000000000006</v>
      </c>
      <c r="O34" s="3">
        <f ca="1">SUMIF(OFFSET(INDIRECT("B"&amp;$F34), 4, 0):INDIRECT("B"&amp;$F35), "*"&amp;$O$2&amp;"*", OFFSET(INDIRECT("C"&amp;$F34), 4, 0):OFFSET(INDIRECT("C"&amp;$F35), -1, 0))</f>
        <v>76.8</v>
      </c>
      <c r="P34" s="3">
        <f ca="1">SUMIF(OFFSET(INDIRECT("B"&amp;$F34), 4, 0):INDIRECT("B"&amp;$F35), "*"&amp;$P$2&amp;"*", OFFSET(INDIRECT("C"&amp;$F34), 4, 0):OFFSET(INDIRECT("C"&amp;$F35), -1, 0))</f>
        <v>460.6</v>
      </c>
      <c r="Q34" s="3">
        <f t="shared" ca="1" si="1"/>
        <v>2931.6000000000004</v>
      </c>
      <c r="S34" s="7" t="str">
        <f>M2</f>
        <v>Original</v>
      </c>
      <c r="W34" s="1" t="s">
        <v>125</v>
      </c>
    </row>
    <row r="35" spans="1:23" x14ac:dyDescent="0.25">
      <c r="A35" s="1">
        <f t="shared" si="0"/>
        <v>0</v>
      </c>
      <c r="B35" s="1" t="s">
        <v>7</v>
      </c>
      <c r="C35" s="1">
        <v>274</v>
      </c>
      <c r="D35" s="1">
        <v>5</v>
      </c>
      <c r="F35" s="4" cm="1">
        <f t="array" aca="1" ref="F35" ca="1">INDEX(OFFSET(INDIRECT("A"&amp;F34), 1, 0):OFFSET(OFFSET(INDIRECT("A"&amp;F34), 1, 0), 100, 0),MATCH(TRUE,INDEX(OFFSET(INDIRECT("A"&amp;F34), 1, 0):OFFSET(OFFSET(INDIRECT("A"&amp;F34), 1, 0), 100, 0)&lt;&gt;0,),0))</f>
        <v>936</v>
      </c>
      <c r="G35" s="1" t="str" cm="1">
        <f t="array" aca="1" ref="G35" ca="1">INDIRECT("B"&amp;$F35)</f>
        <v>RG</v>
      </c>
      <c r="H35" s="3" t="str" cm="1">
        <f t="array" aca="1" ref="H35" ca="1">_xlfn.IFS(COUNTIF($V$3:$V$18, G35)&lt;&gt;0, "S", COUNTIF($W$3:$W$99, G35)&lt;&gt;0, "E", COUNTIF($X$3, G35)&lt;&gt;0, "I", COUNTIF($Y$3:$Y$8, G35)&lt;&gt;0, "W")</f>
        <v>E</v>
      </c>
      <c r="I35" s="3">
        <f ca="1">SUMIF(OFFSET(INDIRECT("B"&amp;$F35), 4, 0):INDIRECT("B"&amp;$F36), "*"&amp;$I$2&amp;"*", OFFSET(INDIRECT("C"&amp;$F35), 4, 0):OFFSET(INDIRECT("C"&amp;$F36), -1, 0))</f>
        <v>1404.3999999999999</v>
      </c>
      <c r="J35" s="3">
        <f ca="1">SUMIF(OFFSET(INDIRECT("B"&amp;$F35), 4, 0):INDIRECT("B"&amp;$F36), "*"&amp;$J$2&amp;"*", OFFSET(INDIRECT("C"&amp;$F35), 4, 0):OFFSET(INDIRECT("C"&amp;$F36), -1, 0))</f>
        <v>34.56</v>
      </c>
      <c r="K35" s="3">
        <f ca="1">SUMIF(OFFSET(INDIRECT("B"&amp;$F35), 4, 0):INDIRECT("B"&amp;$F36), "*"&amp;$K$2&amp;"*", OFFSET(INDIRECT("C"&amp;$F35), 4, 0):OFFSET(INDIRECT("C"&amp;$F36), -1, 0))</f>
        <v>105.55</v>
      </c>
      <c r="L35" s="3">
        <f ca="1">SUMIF(OFFSET(INDIRECT("B"&amp;$F35), 4, 0):INDIRECT("B"&amp;$F36), "*"&amp;$L$2&amp;"*", OFFSET(INDIRECT("C"&amp;$F35), 4, 0):OFFSET(INDIRECT("C"&amp;$F36), -1, 0))</f>
        <v>174.1</v>
      </c>
      <c r="M35" s="3">
        <f ca="1">SUMIF(OFFSET(INDIRECT("B"&amp;$F35), 4, 0):INDIRECT("B"&amp;$F36), "*"&amp;$M$2&amp;"*", OFFSET(INDIRECT("C"&amp;$F35), 4, 0):OFFSET(INDIRECT("C"&amp;$F36), -1, 0))</f>
        <v>78.400000000000006</v>
      </c>
      <c r="N35" s="3">
        <f ca="1">SUMIF(OFFSET(INDIRECT("B"&amp;$F35), 4, 0):INDIRECT("B"&amp;$F36), "*"&amp;$N$2&amp;"*", OFFSET(INDIRECT("C"&amp;$F35), 4, 0):OFFSET(INDIRECT("C"&amp;$F36), -1, 0))</f>
        <v>120.81</v>
      </c>
      <c r="O35" s="3">
        <f ca="1">SUMIF(OFFSET(INDIRECT("B"&amp;$F35), 4, 0):INDIRECT("B"&amp;$F36), "*"&amp;$O$2&amp;"*", OFFSET(INDIRECT("C"&amp;$F35), 4, 0):OFFSET(INDIRECT("C"&amp;$F36), -1, 0))</f>
        <v>0</v>
      </c>
      <c r="P35" s="3">
        <f ca="1">SUMIF(OFFSET(INDIRECT("B"&amp;$F35), 4, 0):INDIRECT("B"&amp;$F36), "*"&amp;$P$2&amp;"*", OFFSET(INDIRECT("C"&amp;$F35), 4, 0):OFFSET(INDIRECT("C"&amp;$F36), -1, 0))</f>
        <v>464.65</v>
      </c>
      <c r="Q35" s="3">
        <f t="shared" ca="1" si="1"/>
        <v>2382.4699999999998</v>
      </c>
      <c r="S35" s="1" t="s">
        <v>217</v>
      </c>
      <c r="T35" s="1" t="s">
        <v>4</v>
      </c>
      <c r="W35" s="1" t="s">
        <v>87</v>
      </c>
    </row>
    <row r="36" spans="1:23" x14ac:dyDescent="0.25">
      <c r="A36" s="1">
        <f t="shared" si="0"/>
        <v>0</v>
      </c>
      <c r="B36" s="1" t="s">
        <v>18</v>
      </c>
      <c r="C36" s="1">
        <v>614.4</v>
      </c>
      <c r="D36" s="1">
        <v>16</v>
      </c>
      <c r="F36" s="4" cm="1">
        <f t="array" aca="1" ref="F36" ca="1">INDEX(OFFSET(INDIRECT("A"&amp;F35), 1, 0):OFFSET(OFFSET(INDIRECT("A"&amp;F35), 1, 0), 100, 0),MATCH(TRUE,INDEX(OFFSET(INDIRECT("A"&amp;F35), 1, 0):OFFSET(OFFSET(INDIRECT("A"&amp;F35), 1, 0), 100, 0)&lt;&gt;0,),0))</f>
        <v>967</v>
      </c>
      <c r="G36" s="1" t="str" cm="1">
        <f t="array" aca="1" ref="G36" ca="1">INDIRECT("B"&amp;$F36)</f>
        <v>BH</v>
      </c>
      <c r="H36" s="3" t="str" cm="1">
        <f t="array" aca="1" ref="H36" ca="1">_xlfn.IFS(COUNTIF($V$3:$V$18, G36)&lt;&gt;0, "S", COUNTIF($W$3:$W$99, G36)&lt;&gt;0, "E", COUNTIF($X$3, G36)&lt;&gt;0, "I", COUNTIF($Y$3:$Y$8, G36)&lt;&gt;0, "W")</f>
        <v>E</v>
      </c>
      <c r="I36" s="3">
        <f ca="1">SUMIF(OFFSET(INDIRECT("B"&amp;$F36), 4, 0):INDIRECT("B"&amp;$F37), "*"&amp;$I$2&amp;"*", OFFSET(INDIRECT("C"&amp;$F36), 4, 0):OFFSET(INDIRECT("C"&amp;$F37), -1, 0))</f>
        <v>2497.2000000000003</v>
      </c>
      <c r="J36" s="3">
        <f ca="1">SUMIF(OFFSET(INDIRECT("B"&amp;$F36), 4, 0):INDIRECT("B"&amp;$F37), "*"&amp;$J$2&amp;"*", OFFSET(INDIRECT("C"&amp;$F36), 4, 0):OFFSET(INDIRECT("C"&amp;$F37), -1, 0))</f>
        <v>0</v>
      </c>
      <c r="K36" s="3">
        <f ca="1">SUMIF(OFFSET(INDIRECT("B"&amp;$F36), 4, 0):INDIRECT("B"&amp;$F37), "*"&amp;$K$2&amp;"*", OFFSET(INDIRECT("C"&amp;$F36), 4, 0):OFFSET(INDIRECT("C"&amp;$F37), -1, 0))</f>
        <v>0</v>
      </c>
      <c r="L36" s="3">
        <f ca="1">SUMIF(OFFSET(INDIRECT("B"&amp;$F36), 4, 0):INDIRECT("B"&amp;$F37), "*"&amp;$L$2&amp;"*", OFFSET(INDIRECT("C"&amp;$F36), 4, 0):OFFSET(INDIRECT("C"&amp;$F37), -1, 0))</f>
        <v>173.2</v>
      </c>
      <c r="M36" s="3">
        <f ca="1">SUMIF(OFFSET(INDIRECT("B"&amp;$F36), 4, 0):INDIRECT("B"&amp;$F37), "*"&amp;$M$2&amp;"*", OFFSET(INDIRECT("C"&amp;$F36), 4, 0):OFFSET(INDIRECT("C"&amp;$F37), -1, 0))</f>
        <v>76.8</v>
      </c>
      <c r="N36" s="3">
        <f ca="1">SUMIF(OFFSET(INDIRECT("B"&amp;$F36), 4, 0):INDIRECT("B"&amp;$F37), "*"&amp;$N$2&amp;"*", OFFSET(INDIRECT("C"&amp;$F36), 4, 0):OFFSET(INDIRECT("C"&amp;$F37), -1, 0))</f>
        <v>0</v>
      </c>
      <c r="O36" s="3">
        <f ca="1">SUMIF(OFFSET(INDIRECT("B"&amp;$F36), 4, 0):INDIRECT("B"&amp;$F37), "*"&amp;$O$2&amp;"*", OFFSET(INDIRECT("C"&amp;$F36), 4, 0):OFFSET(INDIRECT("C"&amp;$F37), -1, 0))</f>
        <v>0</v>
      </c>
      <c r="P36" s="3">
        <f ca="1">SUMIF(OFFSET(INDIRECT("B"&amp;$F36), 4, 0):INDIRECT("B"&amp;$F37), "*"&amp;$P$2&amp;"*", OFFSET(INDIRECT("C"&amp;$F36), 4, 0):OFFSET(INDIRECT("C"&amp;$F37), -1, 0))</f>
        <v>253.55</v>
      </c>
      <c r="Q36" s="3">
        <f t="shared" ca="1" si="1"/>
        <v>3000.7500000000005</v>
      </c>
      <c r="S36" s="1" t="s">
        <v>197</v>
      </c>
      <c r="T36" s="3">
        <f ca="1">SUMIF($H$3:$H$120, "E", $M$3:$M$120)</f>
        <v>9783.5999999999967</v>
      </c>
      <c r="W36" s="1" t="s">
        <v>144</v>
      </c>
    </row>
    <row r="37" spans="1:23" x14ac:dyDescent="0.25">
      <c r="A37" s="1">
        <f t="shared" si="0"/>
        <v>0</v>
      </c>
      <c r="B37" s="1" t="s">
        <v>28</v>
      </c>
      <c r="C37" s="1">
        <v>38.4</v>
      </c>
      <c r="D37" s="1">
        <v>1</v>
      </c>
      <c r="F37" s="4" cm="1">
        <f t="array" aca="1" ref="F37" ca="1">INDEX(OFFSET(INDIRECT("A"&amp;F36), 1, 0):OFFSET(OFFSET(INDIRECT("A"&amp;F36), 1, 0), 100, 0),MATCH(TRUE,INDEX(OFFSET(INDIRECT("A"&amp;F36), 1, 0):OFFSET(OFFSET(INDIRECT("A"&amp;F36), 1, 0), 100, 0)&lt;&gt;0,),0))</f>
        <v>988</v>
      </c>
      <c r="G37" s="1" t="str" cm="1">
        <f t="array" aca="1" ref="G37" ca="1">INDIRECT("B"&amp;$F37)</f>
        <v>BN</v>
      </c>
      <c r="H37" s="3" t="str" cm="1">
        <f t="array" aca="1" ref="H37" ca="1">_xlfn.IFS(COUNTIF($V$3:$V$18, G37)&lt;&gt;0, "S", COUNTIF($W$3:$W$99, G37)&lt;&gt;0, "E", COUNTIF($X$3, G37)&lt;&gt;0, "I", COUNTIF($Y$3:$Y$8, G37)&lt;&gt;0, "W")</f>
        <v>E</v>
      </c>
      <c r="I37" s="3">
        <f ca="1">SUMIF(OFFSET(INDIRECT("B"&amp;$F37), 4, 0):INDIRECT("B"&amp;$F38), "*"&amp;$I$2&amp;"*", OFFSET(INDIRECT("C"&amp;$F37), 4, 0):OFFSET(INDIRECT("C"&amp;$F38), -1, 0))</f>
        <v>1018</v>
      </c>
      <c r="J37" s="3">
        <f ca="1">SUMIF(OFFSET(INDIRECT("B"&amp;$F37), 4, 0):INDIRECT("B"&amp;$F38), "*"&amp;$J$2&amp;"*", OFFSET(INDIRECT("C"&amp;$F37), 4, 0):OFFSET(INDIRECT("C"&amp;$F38), -1, 0))</f>
        <v>76.8</v>
      </c>
      <c r="K37" s="3">
        <f ca="1">SUMIF(OFFSET(INDIRECT("B"&amp;$F37), 4, 0):INDIRECT("B"&amp;$F38), "*"&amp;$K$2&amp;"*", OFFSET(INDIRECT("C"&amp;$F37), 4, 0):OFFSET(INDIRECT("C"&amp;$F38), -1, 0))</f>
        <v>115.2</v>
      </c>
      <c r="L37" s="3">
        <f ca="1">SUMIF(OFFSET(INDIRECT("B"&amp;$F37), 4, 0):INDIRECT("B"&amp;$F38), "*"&amp;$L$2&amp;"*", OFFSET(INDIRECT("C"&amp;$F37), 4, 0):OFFSET(INDIRECT("C"&amp;$F38), -1, 0))</f>
        <v>0</v>
      </c>
      <c r="M37" s="3">
        <f ca="1">SUMIF(OFFSET(INDIRECT("B"&amp;$F37), 4, 0):INDIRECT("B"&amp;$F38), "*"&amp;$M$2&amp;"*", OFFSET(INDIRECT("C"&amp;$F37), 4, 0):OFFSET(INDIRECT("C"&amp;$F38), -1, 0))</f>
        <v>54.8</v>
      </c>
      <c r="N37" s="3">
        <f ca="1">SUMIF(OFFSET(INDIRECT("B"&amp;$F37), 4, 0):INDIRECT("B"&amp;$F38), "*"&amp;$N$2&amp;"*", OFFSET(INDIRECT("C"&amp;$F37), 4, 0):OFFSET(INDIRECT("C"&amp;$F38), -1, 0))</f>
        <v>28.75</v>
      </c>
      <c r="O37" s="3">
        <f ca="1">SUMIF(OFFSET(INDIRECT("B"&amp;$F37), 4, 0):INDIRECT("B"&amp;$F38), "*"&amp;$O$2&amp;"*", OFFSET(INDIRECT("C"&amp;$F37), 4, 0):OFFSET(INDIRECT("C"&amp;$F38), -1, 0))</f>
        <v>0</v>
      </c>
      <c r="P37" s="3">
        <f ca="1">SUMIF(OFFSET(INDIRECT("B"&amp;$F37), 4, 0):INDIRECT("B"&amp;$F38), "*"&amp;$P$2&amp;"*", OFFSET(INDIRECT("C"&amp;$F37), 4, 0):OFFSET(INDIRECT("C"&amp;$F38), -1, 0))</f>
        <v>153.6</v>
      </c>
      <c r="Q37" s="3">
        <f t="shared" ca="1" si="1"/>
        <v>1447.1499999999999</v>
      </c>
      <c r="S37" s="1" t="s">
        <v>198</v>
      </c>
      <c r="T37" s="3">
        <f ca="1">SUMIF($H$3:$H$120, "S", $M$3:$M$120)</f>
        <v>9394.7999999999993</v>
      </c>
      <c r="W37" s="1" t="s">
        <v>159</v>
      </c>
    </row>
    <row r="38" spans="1:23" x14ac:dyDescent="0.25">
      <c r="A38" s="1">
        <f t="shared" si="0"/>
        <v>0</v>
      </c>
      <c r="B38" s="1" t="s">
        <v>6</v>
      </c>
      <c r="C38" s="1">
        <v>219.2</v>
      </c>
      <c r="D38" s="1">
        <v>4</v>
      </c>
      <c r="F38" s="4" cm="1">
        <f t="array" aca="1" ref="F38" ca="1">INDEX(OFFSET(INDIRECT("A"&amp;F37), 1, 0):OFFSET(OFFSET(INDIRECT("A"&amp;F37), 1, 0), 100, 0),MATCH(TRUE,INDEX(OFFSET(INDIRECT("A"&amp;F37), 1, 0):OFFSET(OFFSET(INDIRECT("A"&amp;F37), 1, 0), 100, 0)&lt;&gt;0,),0))</f>
        <v>1009</v>
      </c>
      <c r="G38" s="1" t="str" cm="1">
        <f t="array" aca="1" ref="G38" ca="1">INDIRECT("B"&amp;$F38)</f>
        <v>GL</v>
      </c>
      <c r="H38" s="3" t="str" cm="1">
        <f t="array" aca="1" ref="H38" ca="1">_xlfn.IFS(COUNTIF($V$3:$V$18, G38)&lt;&gt;0, "S", COUNTIF($W$3:$W$99, G38)&lt;&gt;0, "E", COUNTIF($X$3, G38)&lt;&gt;0, "I", COUNTIF($Y$3:$Y$8, G38)&lt;&gt;0, "W")</f>
        <v>E</v>
      </c>
      <c r="I38" s="3">
        <f ca="1">SUMIF(OFFSET(INDIRECT("B"&amp;$F38), 4, 0):INDIRECT("B"&amp;$F39), "*"&amp;$I$2&amp;"*", OFFSET(INDIRECT("C"&amp;$F38), 4, 0):OFFSET(INDIRECT("C"&amp;$F39), -1, 0))</f>
        <v>904</v>
      </c>
      <c r="J38" s="3">
        <f ca="1">SUMIF(OFFSET(INDIRECT("B"&amp;$F38), 4, 0):INDIRECT("B"&amp;$F39), "*"&amp;$J$2&amp;"*", OFFSET(INDIRECT("C"&amp;$F38), 4, 0):OFFSET(INDIRECT("C"&amp;$F39), -1, 0))</f>
        <v>0</v>
      </c>
      <c r="K38" s="3">
        <f ca="1">SUMIF(OFFSET(INDIRECT("B"&amp;$F38), 4, 0):INDIRECT("B"&amp;$F39), "*"&amp;$K$2&amp;"*", OFFSET(INDIRECT("C"&amp;$F38), 4, 0):OFFSET(INDIRECT("C"&amp;$F39), -1, 0))</f>
        <v>0</v>
      </c>
      <c r="L38" s="3">
        <f ca="1">SUMIF(OFFSET(INDIRECT("B"&amp;$F38), 4, 0):INDIRECT("B"&amp;$F39), "*"&amp;$L$2&amp;"*", OFFSET(INDIRECT("C"&amp;$F38), 4, 0):OFFSET(INDIRECT("C"&amp;$F39), -1, 0))</f>
        <v>119.3</v>
      </c>
      <c r="M38" s="3">
        <f ca="1">SUMIF(OFFSET(INDIRECT("B"&amp;$F38), 4, 0):INDIRECT("B"&amp;$F39), "*"&amp;$M$2&amp;"*", OFFSET(INDIRECT("C"&amp;$F38), 4, 0):OFFSET(INDIRECT("C"&amp;$F39), -1, 0))</f>
        <v>0</v>
      </c>
      <c r="N38" s="3">
        <f ca="1">SUMIF(OFFSET(INDIRECT("B"&amp;$F38), 4, 0):INDIRECT("B"&amp;$F39), "*"&amp;$N$2&amp;"*", OFFSET(INDIRECT("C"&amp;$F38), 4, 0):OFFSET(INDIRECT("C"&amp;$F39), -1, 0))</f>
        <v>76.8</v>
      </c>
      <c r="O38" s="3">
        <f ca="1">SUMIF(OFFSET(INDIRECT("B"&amp;$F38), 4, 0):INDIRECT("B"&amp;$F39), "*"&amp;$O$2&amp;"*", OFFSET(INDIRECT("C"&amp;$F38), 4, 0):OFFSET(INDIRECT("C"&amp;$F39), -1, 0))</f>
        <v>76.8</v>
      </c>
      <c r="P38" s="3">
        <f ca="1">SUMIF(OFFSET(INDIRECT("B"&amp;$F38), 4, 0):INDIRECT("B"&amp;$F39), "*"&amp;$P$2&amp;"*", OFFSET(INDIRECT("C"&amp;$F38), 4, 0):OFFSET(INDIRECT("C"&amp;$F39), -1, 0))</f>
        <v>429.15000000000003</v>
      </c>
      <c r="Q38" s="3">
        <f t="shared" ca="1" si="1"/>
        <v>1606.05</v>
      </c>
      <c r="S38" s="1" t="s">
        <v>205</v>
      </c>
      <c r="T38" s="3">
        <f ca="1">SUMIF($H$3:$H$120, "I", $M$3:$M$120)</f>
        <v>94.8</v>
      </c>
      <c r="W38" s="1" t="s">
        <v>138</v>
      </c>
    </row>
    <row r="39" spans="1:23" x14ac:dyDescent="0.25">
      <c r="A39" s="1">
        <f t="shared" si="0"/>
        <v>0</v>
      </c>
      <c r="B39" s="1" t="s">
        <v>29</v>
      </c>
      <c r="C39" s="1">
        <v>38.4</v>
      </c>
      <c r="D39" s="1">
        <v>1</v>
      </c>
      <c r="F39" s="4" cm="1">
        <f t="array" aca="1" ref="F39" ca="1">INDEX(OFFSET(INDIRECT("A"&amp;F38), 1, 0):OFFSET(OFFSET(INDIRECT("A"&amp;F38), 1, 0), 100, 0),MATCH(TRUE,INDEX(OFFSET(INDIRECT("A"&amp;F38), 1, 0):OFFSET(OFFSET(INDIRECT("A"&amp;F38), 1, 0), 100, 0)&lt;&gt;0,),0))</f>
        <v>1028</v>
      </c>
      <c r="G39" s="1" t="str" cm="1">
        <f t="array" aca="1" ref="G39" ca="1">INDIRECT("B"&amp;$F39)</f>
        <v>SK</v>
      </c>
      <c r="H39" s="3" t="str" cm="1">
        <f t="array" aca="1" ref="H39" ca="1">_xlfn.IFS(COUNTIF($V$3:$V$18, G39)&lt;&gt;0, "S", COUNTIF($W$3:$W$99, G39)&lt;&gt;0, "E", COUNTIF($X$3, G39)&lt;&gt;0, "I", COUNTIF($Y$3:$Y$8, G39)&lt;&gt;0, "W")</f>
        <v>E</v>
      </c>
      <c r="I39" s="3">
        <f ca="1">SUMIF(OFFSET(INDIRECT("B"&amp;$F39), 4, 0):INDIRECT("B"&amp;$F40), "*"&amp;$I$2&amp;"*", OFFSET(INDIRECT("C"&amp;$F39), 4, 0):OFFSET(INDIRECT("C"&amp;$F40), -1, 0))</f>
        <v>2625.1499999999996</v>
      </c>
      <c r="J39" s="3">
        <f ca="1">SUMIF(OFFSET(INDIRECT("B"&amp;$F39), 4, 0):INDIRECT("B"&amp;$F40), "*"&amp;$J$2&amp;"*", OFFSET(INDIRECT("C"&amp;$F39), 4, 0):OFFSET(INDIRECT("C"&amp;$F40), -1, 0))</f>
        <v>72.960000000000008</v>
      </c>
      <c r="K39" s="3">
        <f ca="1">SUMIF(OFFSET(INDIRECT("B"&amp;$F39), 4, 0):INDIRECT("B"&amp;$F40), "*"&amp;$K$2&amp;"*", OFFSET(INDIRECT("C"&amp;$F39), 4, 0):OFFSET(INDIRECT("C"&amp;$F40), -1, 0))</f>
        <v>76.8</v>
      </c>
      <c r="L39" s="3">
        <f ca="1">SUMIF(OFFSET(INDIRECT("B"&amp;$F39), 4, 0):INDIRECT("B"&amp;$F40), "*"&amp;$L$2&amp;"*", OFFSET(INDIRECT("C"&amp;$F39), 4, 0):OFFSET(INDIRECT("C"&amp;$F40), -1, 0))</f>
        <v>278.84999999999997</v>
      </c>
      <c r="M39" s="3">
        <f ca="1">SUMIF(OFFSET(INDIRECT("B"&amp;$F39), 4, 0):INDIRECT("B"&amp;$F40), "*"&amp;$M$2&amp;"*", OFFSET(INDIRECT("C"&amp;$F39), 4, 0):OFFSET(INDIRECT("C"&amp;$F40), -1, 0))</f>
        <v>208.39999999999998</v>
      </c>
      <c r="N39" s="3">
        <f ca="1">SUMIF(OFFSET(INDIRECT("B"&amp;$F39), 4, 0):INDIRECT("B"&amp;$F40), "*"&amp;$N$2&amp;"*", OFFSET(INDIRECT("C"&amp;$F39), 4, 0):OFFSET(INDIRECT("C"&amp;$F40), -1, 0))</f>
        <v>34.56</v>
      </c>
      <c r="O39" s="3">
        <f ca="1">SUMIF(OFFSET(INDIRECT("B"&amp;$F39), 4, 0):INDIRECT("B"&amp;$F40), "*"&amp;$O$2&amp;"*", OFFSET(INDIRECT("C"&amp;$F39), 4, 0):OFFSET(INDIRECT("C"&amp;$F40), -1, 0))</f>
        <v>0</v>
      </c>
      <c r="P39" s="3">
        <f ca="1">SUMIF(OFFSET(INDIRECT("B"&amp;$F39), 4, 0):INDIRECT("B"&amp;$F40), "*"&amp;$P$2&amp;"*", OFFSET(INDIRECT("C"&amp;$F39), 4, 0):OFFSET(INDIRECT("C"&amp;$F40), -1, 0))</f>
        <v>500.8</v>
      </c>
      <c r="Q39" s="3">
        <f t="shared" ca="1" si="1"/>
        <v>3797.52</v>
      </c>
      <c r="S39" s="1" t="s">
        <v>206</v>
      </c>
      <c r="T39" s="3">
        <f ca="1">SUMIF($H$3:$H$120, "W", $M$3:$M$120)</f>
        <v>195.20000000000002</v>
      </c>
      <c r="W39" s="1" t="s">
        <v>174</v>
      </c>
    </row>
    <row r="40" spans="1:23" x14ac:dyDescent="0.25">
      <c r="A40" s="1">
        <f t="shared" si="0"/>
        <v>0</v>
      </c>
      <c r="B40" s="1" t="s">
        <v>30</v>
      </c>
      <c r="C40" s="1">
        <v>47.97</v>
      </c>
      <c r="D40" s="1">
        <v>3</v>
      </c>
      <c r="F40" s="4" cm="1">
        <f t="array" aca="1" ref="F40" ca="1">INDEX(OFFSET(INDIRECT("A"&amp;F39), 1, 0):OFFSET(OFFSET(INDIRECT("A"&amp;F39), 1, 0), 100, 0),MATCH(TRUE,INDEX(OFFSET(INDIRECT("A"&amp;F39), 1, 0):OFFSET(OFFSET(INDIRECT("A"&amp;F39), 1, 0), 100, 0)&lt;&gt;0,),0))</f>
        <v>1057</v>
      </c>
      <c r="G40" s="1" t="str" cm="1">
        <f t="array" aca="1" ref="G40" ca="1">INDIRECT("B"&amp;$F40)</f>
        <v>UB</v>
      </c>
      <c r="H40" s="3" t="str" cm="1">
        <f t="array" aca="1" ref="H40" ca="1">_xlfn.IFS(COUNTIF($V$3:$V$18, G40)&lt;&gt;0, "S", COUNTIF($W$3:$W$99, G40)&lt;&gt;0, "E", COUNTIF($X$3, G40)&lt;&gt;0, "I", COUNTIF($Y$3:$Y$8, G40)&lt;&gt;0, "W")</f>
        <v>E</v>
      </c>
      <c r="I40" s="3">
        <f ca="1">SUMIF(OFFSET(INDIRECT("B"&amp;$F40), 4, 0):INDIRECT("B"&amp;$F41), "*"&amp;$I$2&amp;"*", OFFSET(INDIRECT("C"&amp;$F40), 4, 0):OFFSET(INDIRECT("C"&amp;$F41), -1, 0))</f>
        <v>442.4</v>
      </c>
      <c r="J40" s="3">
        <f ca="1">SUMIF(OFFSET(INDIRECT("B"&amp;$F40), 4, 0):INDIRECT("B"&amp;$F41), "*"&amp;$J$2&amp;"*", OFFSET(INDIRECT("C"&amp;$F40), 4, 0):OFFSET(INDIRECT("C"&amp;$F41), -1, 0))</f>
        <v>0</v>
      </c>
      <c r="K40" s="3">
        <f ca="1">SUMIF(OFFSET(INDIRECT("B"&amp;$F40), 4, 0):INDIRECT("B"&amp;$F41), "*"&amp;$K$2&amp;"*", OFFSET(INDIRECT("C"&amp;$F40), 4, 0):OFFSET(INDIRECT("C"&amp;$F41), -1, 0))</f>
        <v>0</v>
      </c>
      <c r="L40" s="3">
        <f ca="1">SUMIF(OFFSET(INDIRECT("B"&amp;$F40), 4, 0):INDIRECT("B"&amp;$F41), "*"&amp;$L$2&amp;"*", OFFSET(INDIRECT("C"&amp;$F40), 4, 0):OFFSET(INDIRECT("C"&amp;$F41), -1, 0))</f>
        <v>0</v>
      </c>
      <c r="M40" s="3">
        <f ca="1">SUMIF(OFFSET(INDIRECT("B"&amp;$F40), 4, 0):INDIRECT("B"&amp;$F41), "*"&amp;$M$2&amp;"*", OFFSET(INDIRECT("C"&amp;$F40), 4, 0):OFFSET(INDIRECT("C"&amp;$F41), -1, 0))</f>
        <v>0</v>
      </c>
      <c r="N40" s="3">
        <f ca="1">SUMIF(OFFSET(INDIRECT("B"&amp;$F40), 4, 0):INDIRECT("B"&amp;$F41), "*"&amp;$N$2&amp;"*", OFFSET(INDIRECT("C"&amp;$F40), 4, 0):OFFSET(INDIRECT("C"&amp;$F41), -1, 0))</f>
        <v>0</v>
      </c>
      <c r="O40" s="3">
        <f ca="1">SUMIF(OFFSET(INDIRECT("B"&amp;$F40), 4, 0):INDIRECT("B"&amp;$F41), "*"&amp;$O$2&amp;"*", OFFSET(INDIRECT("C"&amp;$F40), 4, 0):OFFSET(INDIRECT("C"&amp;$F41), -1, 0))</f>
        <v>0</v>
      </c>
      <c r="P40" s="3">
        <f ca="1">SUMIF(OFFSET(INDIRECT("B"&amp;$F40), 4, 0):INDIRECT("B"&amp;$F41), "*"&amp;$P$2&amp;"*", OFFSET(INDIRECT("C"&amp;$F40), 4, 0):OFFSET(INDIRECT("C"&amp;$F41), -1, 0))</f>
        <v>83.55</v>
      </c>
      <c r="Q40" s="3">
        <f t="shared" ca="1" si="1"/>
        <v>525.94999999999993</v>
      </c>
      <c r="S40" s="1" t="s">
        <v>215</v>
      </c>
      <c r="T40" s="3">
        <f ca="1">SUM(T36:T39)</f>
        <v>19468.399999999994</v>
      </c>
      <c r="W40" s="1" t="s">
        <v>167</v>
      </c>
    </row>
    <row r="41" spans="1:23" x14ac:dyDescent="0.25">
      <c r="A41" s="1">
        <f t="shared" si="0"/>
        <v>0</v>
      </c>
      <c r="B41" s="1" t="s">
        <v>31</v>
      </c>
      <c r="C41" s="1">
        <v>69.12</v>
      </c>
      <c r="D41" s="1">
        <v>2</v>
      </c>
      <c r="F41" s="4" cm="1">
        <f t="array" aca="1" ref="F41" ca="1">INDEX(OFFSET(INDIRECT("A"&amp;F40), 1, 0):OFFSET(OFFSET(INDIRECT("A"&amp;F40), 1, 0), 100, 0),MATCH(TRUE,INDEX(OFFSET(INDIRECT("A"&amp;F40), 1, 0):OFFSET(OFFSET(INDIRECT("A"&amp;F40), 1, 0), 100, 0)&lt;&gt;0,),0))</f>
        <v>1067</v>
      </c>
      <c r="G41" s="1" t="str" cm="1">
        <f t="array" aca="1" ref="G41" ca="1">INDIRECT("B"&amp;$F41)</f>
        <v>LA</v>
      </c>
      <c r="H41" s="3" t="str" cm="1">
        <f t="array" aca="1" ref="H41" ca="1">_xlfn.IFS(COUNTIF($V$3:$V$18, G41)&lt;&gt;0, "S", COUNTIF($W$3:$W$99, G41)&lt;&gt;0, "E", COUNTIF($X$3, G41)&lt;&gt;0, "I", COUNTIF($Y$3:$Y$8, G41)&lt;&gt;0, "W")</f>
        <v>E</v>
      </c>
      <c r="I41" s="3">
        <f ca="1">SUMIF(OFFSET(INDIRECT("B"&amp;$F41), 4, 0):INDIRECT("B"&amp;$F42), "*"&amp;$I$2&amp;"*", OFFSET(INDIRECT("C"&amp;$F41), 4, 0):OFFSET(INDIRECT("C"&amp;$F42), -1, 0))</f>
        <v>650.79999999999995</v>
      </c>
      <c r="J41" s="3">
        <f ca="1">SUMIF(OFFSET(INDIRECT("B"&amp;$F41), 4, 0):INDIRECT("B"&amp;$F42), "*"&amp;$J$2&amp;"*", OFFSET(INDIRECT("C"&amp;$F41), 4, 0):OFFSET(INDIRECT("C"&amp;$F42), -1, 0))</f>
        <v>0</v>
      </c>
      <c r="K41" s="3">
        <f ca="1">SUMIF(OFFSET(INDIRECT("B"&amp;$F41), 4, 0):INDIRECT("B"&amp;$F42), "*"&amp;$K$2&amp;"*", OFFSET(INDIRECT("C"&amp;$F41), 4, 0):OFFSET(INDIRECT("C"&amp;$F42), -1, 0))</f>
        <v>76.8</v>
      </c>
      <c r="L41" s="3">
        <f ca="1">SUMIF(OFFSET(INDIRECT("B"&amp;$F41), 4, 0):INDIRECT("B"&amp;$F42), "*"&amp;$L$2&amp;"*", OFFSET(INDIRECT("C"&amp;$F41), 4, 0):OFFSET(INDIRECT("C"&amp;$F42), -1, 0))</f>
        <v>54.8</v>
      </c>
      <c r="M41" s="3">
        <f ca="1">SUMIF(OFFSET(INDIRECT("B"&amp;$F41), 4, 0):INDIRECT("B"&amp;$F42), "*"&amp;$M$2&amp;"*", OFFSET(INDIRECT("C"&amp;$F41), 4, 0):OFFSET(INDIRECT("C"&amp;$F42), -1, 0))</f>
        <v>170</v>
      </c>
      <c r="N41" s="3">
        <f ca="1">SUMIF(OFFSET(INDIRECT("B"&amp;$F41), 4, 0):INDIRECT("B"&amp;$F42), "*"&amp;$N$2&amp;"*", OFFSET(INDIRECT("C"&amp;$F41), 4, 0):OFFSET(INDIRECT("C"&amp;$F42), -1, 0))</f>
        <v>38.4</v>
      </c>
      <c r="O41" s="3">
        <f ca="1">SUMIF(OFFSET(INDIRECT("B"&amp;$F41), 4, 0):INDIRECT("B"&amp;$F42), "*"&amp;$O$2&amp;"*", OFFSET(INDIRECT("C"&amp;$F41), 4, 0):OFFSET(INDIRECT("C"&amp;$F42), -1, 0))</f>
        <v>0</v>
      </c>
      <c r="P41" s="3">
        <f ca="1">SUMIF(OFFSET(INDIRECT("B"&amp;$F41), 4, 0):INDIRECT("B"&amp;$F42), "*"&amp;$P$2&amp;"*", OFFSET(INDIRECT("C"&amp;$F41), 4, 0):OFFSET(INDIRECT("C"&amp;$F42), -1, 0))</f>
        <v>207.95</v>
      </c>
      <c r="Q41" s="3">
        <f t="shared" ca="1" si="1"/>
        <v>1198.7499999999998</v>
      </c>
      <c r="W41" s="1" t="s">
        <v>171</v>
      </c>
    </row>
    <row r="42" spans="1:23" ht="15.75" x14ac:dyDescent="0.25">
      <c r="A42" s="1">
        <f t="shared" si="0"/>
        <v>0</v>
      </c>
      <c r="B42" s="1" t="s">
        <v>8</v>
      </c>
      <c r="C42" s="1">
        <v>164.4</v>
      </c>
      <c r="D42" s="1">
        <v>3</v>
      </c>
      <c r="F42" s="4" cm="1">
        <f t="array" aca="1" ref="F42" ca="1">INDEX(OFFSET(INDIRECT("A"&amp;F41), 1, 0):OFFSET(OFFSET(INDIRECT("A"&amp;F41), 1, 0), 100, 0),MATCH(TRUE,INDEX(OFFSET(INDIRECT("A"&amp;F41), 1, 0):OFFSET(OFFSET(INDIRECT("A"&amp;F41), 1, 0), 100, 0)&lt;&gt;0,),0))</f>
        <v>1090</v>
      </c>
      <c r="G42" s="1" t="str" cm="1">
        <f t="array" aca="1" ref="G42" ca="1">INDIRECT("B"&amp;$F42)</f>
        <v>SR</v>
      </c>
      <c r="H42" s="3" t="str" cm="1">
        <f t="array" aca="1" ref="H42" ca="1">_xlfn.IFS(COUNTIF($V$3:$V$18, G42)&lt;&gt;0, "S", COUNTIF($W$3:$W$99, G42)&lt;&gt;0, "E", COUNTIF($X$3, G42)&lt;&gt;0, "I", COUNTIF($Y$3:$Y$8, G42)&lt;&gt;0, "W")</f>
        <v>E</v>
      </c>
      <c r="I42" s="3">
        <f ca="1">SUMIF(OFFSET(INDIRECT("B"&amp;$F42), 4, 0):INDIRECT("B"&amp;$F43), "*"&amp;$I$2&amp;"*", OFFSET(INDIRECT("C"&amp;$F42), 4, 0):OFFSET(INDIRECT("C"&amp;$F43), -1, 0))</f>
        <v>291.20000000000005</v>
      </c>
      <c r="J42" s="3">
        <f ca="1">SUMIF(OFFSET(INDIRECT("B"&amp;$F42), 4, 0):INDIRECT("B"&amp;$F43), "*"&amp;$J$2&amp;"*", OFFSET(INDIRECT("C"&amp;$F42), 4, 0):OFFSET(INDIRECT("C"&amp;$F43), -1, 0))</f>
        <v>0</v>
      </c>
      <c r="K42" s="3">
        <f ca="1">SUMIF(OFFSET(INDIRECT("B"&amp;$F42), 4, 0):INDIRECT("B"&amp;$F43), "*"&amp;$K$2&amp;"*", OFFSET(INDIRECT("C"&amp;$F42), 4, 0):OFFSET(INDIRECT("C"&amp;$F43), -1, 0))</f>
        <v>0</v>
      </c>
      <c r="L42" s="3">
        <f ca="1">SUMIF(OFFSET(INDIRECT("B"&amp;$F42), 4, 0):INDIRECT("B"&amp;$F43), "*"&amp;$L$2&amp;"*", OFFSET(INDIRECT("C"&amp;$F42), 4, 0):OFFSET(INDIRECT("C"&amp;$F43), -1, 0))</f>
        <v>109.19</v>
      </c>
      <c r="M42" s="3">
        <f ca="1">SUMIF(OFFSET(INDIRECT("B"&amp;$F42), 4, 0):INDIRECT("B"&amp;$F43), "*"&amp;$M$2&amp;"*", OFFSET(INDIRECT("C"&amp;$F42), 4, 0):OFFSET(INDIRECT("C"&amp;$F43), -1, 0))</f>
        <v>40</v>
      </c>
      <c r="N42" s="3">
        <f ca="1">SUMIF(OFFSET(INDIRECT("B"&amp;$F42), 4, 0):INDIRECT("B"&amp;$F43), "*"&amp;$N$2&amp;"*", OFFSET(INDIRECT("C"&amp;$F42), 4, 0):OFFSET(INDIRECT("C"&amp;$F43), -1, 0))</f>
        <v>28.75</v>
      </c>
      <c r="O42" s="3">
        <f ca="1">SUMIF(OFFSET(INDIRECT("B"&amp;$F42), 4, 0):INDIRECT("B"&amp;$F43), "*"&amp;$O$2&amp;"*", OFFSET(INDIRECT("C"&amp;$F42), 4, 0):OFFSET(INDIRECT("C"&amp;$F43), -1, 0))</f>
        <v>0</v>
      </c>
      <c r="P42" s="3">
        <f ca="1">SUMIF(OFFSET(INDIRECT("B"&amp;$F42), 4, 0):INDIRECT("B"&amp;$F43), "*"&amp;$P$2&amp;"*", OFFSET(INDIRECT("C"&amp;$F42), 4, 0):OFFSET(INDIRECT("C"&amp;$F43), -1, 0))</f>
        <v>0</v>
      </c>
      <c r="Q42" s="3">
        <f t="shared" ca="1" si="1"/>
        <v>469.14000000000004</v>
      </c>
      <c r="S42" s="7" t="str">
        <f>N2</f>
        <v>Scottish Fruits</v>
      </c>
      <c r="W42" s="1" t="s">
        <v>188</v>
      </c>
    </row>
    <row r="43" spans="1:23" x14ac:dyDescent="0.25">
      <c r="A43" s="1">
        <f t="shared" si="0"/>
        <v>0</v>
      </c>
      <c r="B43" s="1" t="s">
        <v>13</v>
      </c>
      <c r="C43" s="1">
        <v>153.6</v>
      </c>
      <c r="D43" s="1">
        <v>4</v>
      </c>
      <c r="F43" s="4" cm="1">
        <f t="array" aca="1" ref="F43" ca="1">INDEX(OFFSET(INDIRECT("A"&amp;F42), 1, 0):OFFSET(OFFSET(INDIRECT("A"&amp;F42), 1, 0), 100, 0),MATCH(TRUE,INDEX(OFFSET(INDIRECT("A"&amp;F42), 1, 0):OFFSET(OFFSET(INDIRECT("A"&amp;F42), 1, 0), 100, 0)&lt;&gt;0,),0))</f>
        <v>1110</v>
      </c>
      <c r="G43" s="1" t="str" cm="1">
        <f t="array" aca="1" ref="G43" ca="1">INDIRECT("B"&amp;$F43)</f>
        <v>BD</v>
      </c>
      <c r="H43" s="3" t="str" cm="1">
        <f t="array" aca="1" ref="H43" ca="1">_xlfn.IFS(COUNTIF($V$3:$V$18, G43)&lt;&gt;0, "S", COUNTIF($W$3:$W$99, G43)&lt;&gt;0, "E", COUNTIF($X$3, G43)&lt;&gt;0, "I", COUNTIF($Y$3:$Y$8, G43)&lt;&gt;0, "W")</f>
        <v>E</v>
      </c>
      <c r="I43" s="3">
        <f ca="1">SUMIF(OFFSET(INDIRECT("B"&amp;$F43), 4, 0):INDIRECT("B"&amp;$F44), "*"&amp;$I$2&amp;"*", OFFSET(INDIRECT("C"&amp;$F43), 4, 0):OFFSET(INDIRECT("C"&amp;$F44), -1, 0))</f>
        <v>530.40000000000009</v>
      </c>
      <c r="J43" s="3">
        <f ca="1">SUMIF(OFFSET(INDIRECT("B"&amp;$F43), 4, 0):INDIRECT("B"&amp;$F44), "*"&amp;$J$2&amp;"*", OFFSET(INDIRECT("C"&amp;$F43), 4, 0):OFFSET(INDIRECT("C"&amp;$F44), -1, 0))</f>
        <v>144.16</v>
      </c>
      <c r="K43" s="3">
        <f ca="1">SUMIF(OFFSET(INDIRECT("B"&amp;$F43), 4, 0):INDIRECT("B"&amp;$F44), "*"&amp;$K$2&amp;"*", OFFSET(INDIRECT("C"&amp;$F43), 4, 0):OFFSET(INDIRECT("C"&amp;$F44), -1, 0))</f>
        <v>54.8</v>
      </c>
      <c r="L43" s="3">
        <f ca="1">SUMIF(OFFSET(INDIRECT("B"&amp;$F43), 4, 0):INDIRECT("B"&amp;$F44), "*"&amp;$L$2&amp;"*", OFFSET(INDIRECT("C"&amp;$F43), 4, 0):OFFSET(INDIRECT("C"&amp;$F44), -1, 0))</f>
        <v>0</v>
      </c>
      <c r="M43" s="3">
        <f ca="1">SUMIF(OFFSET(INDIRECT("B"&amp;$F43), 4, 0):INDIRECT("B"&amp;$F44), "*"&amp;$M$2&amp;"*", OFFSET(INDIRECT("C"&amp;$F43), 4, 0):OFFSET(INDIRECT("C"&amp;$F44), -1, 0))</f>
        <v>131.6</v>
      </c>
      <c r="N43" s="3">
        <f ca="1">SUMIF(OFFSET(INDIRECT("B"&amp;$F43), 4, 0):INDIRECT("B"&amp;$F44), "*"&amp;$N$2&amp;"*", OFFSET(INDIRECT("C"&amp;$F43), 4, 0):OFFSET(INDIRECT("C"&amp;$F44), -1, 0))</f>
        <v>120.81</v>
      </c>
      <c r="O43" s="3">
        <f ca="1">SUMIF(OFFSET(INDIRECT("B"&amp;$F43), 4, 0):INDIRECT("B"&amp;$F44), "*"&amp;$O$2&amp;"*", OFFSET(INDIRECT("C"&amp;$F43), 4, 0):OFFSET(INDIRECT("C"&amp;$F44), -1, 0))</f>
        <v>0</v>
      </c>
      <c r="P43" s="3">
        <f ca="1">SUMIF(OFFSET(INDIRECT("B"&amp;$F43), 4, 0):INDIRECT("B"&amp;$F44), "*"&amp;$P$2&amp;"*", OFFSET(INDIRECT("C"&amp;$F43), 4, 0):OFFSET(INDIRECT("C"&amp;$F44), -1, 0))</f>
        <v>249.5</v>
      </c>
      <c r="Q43" s="3">
        <f t="shared" ca="1" si="1"/>
        <v>1231.27</v>
      </c>
      <c r="S43" s="1" t="s">
        <v>217</v>
      </c>
      <c r="T43" s="1" t="s">
        <v>4</v>
      </c>
      <c r="W43" s="1" t="s">
        <v>82</v>
      </c>
    </row>
    <row r="44" spans="1:23" x14ac:dyDescent="0.25">
      <c r="A44" s="1">
        <f t="shared" si="0"/>
        <v>0</v>
      </c>
      <c r="B44" s="1" t="s">
        <v>32</v>
      </c>
      <c r="C44" s="1">
        <v>38.4</v>
      </c>
      <c r="D44" s="1">
        <v>1</v>
      </c>
      <c r="F44" s="4" cm="1">
        <f t="array" aca="1" ref="F44" ca="1">INDEX(OFFSET(INDIRECT("A"&amp;F43), 1, 0):OFFSET(OFFSET(INDIRECT("A"&amp;F43), 1, 0), 100, 0),MATCH(TRUE,INDEX(OFFSET(INDIRECT("A"&amp;F43), 1, 0):OFFSET(OFFSET(INDIRECT("A"&amp;F43), 1, 0), 100, 0)&lt;&gt;0,),0))</f>
        <v>1133</v>
      </c>
      <c r="G44" s="1" t="str" cm="1">
        <f t="array" aca="1" ref="G44" ca="1">INDIRECT("B"&amp;$F44)</f>
        <v>PR</v>
      </c>
      <c r="H44" s="3" t="str" cm="1">
        <f t="array" aca="1" ref="H44" ca="1">_xlfn.IFS(COUNTIF($V$3:$V$18, G44)&lt;&gt;0, "S", COUNTIF($W$3:$W$99, G44)&lt;&gt;0, "E", COUNTIF($X$3, G44)&lt;&gt;0, "I", COUNTIF($Y$3:$Y$8, G44)&lt;&gt;0, "W")</f>
        <v>E</v>
      </c>
      <c r="I44" s="3">
        <f ca="1">SUMIF(OFFSET(INDIRECT("B"&amp;$F44), 4, 0):INDIRECT("B"&amp;$F45), "*"&amp;$I$2&amp;"*", OFFSET(INDIRECT("C"&amp;$F44), 4, 0):OFFSET(INDIRECT("C"&amp;$F45), -1, 0))</f>
        <v>495.55</v>
      </c>
      <c r="J44" s="3">
        <f ca="1">SUMIF(OFFSET(INDIRECT("B"&amp;$F44), 4, 0):INDIRECT("B"&amp;$F45), "*"&amp;$J$2&amp;"*", OFFSET(INDIRECT("C"&amp;$F44), 4, 0):OFFSET(INDIRECT("C"&amp;$F45), -1, 0))</f>
        <v>76.8</v>
      </c>
      <c r="K44" s="3">
        <f ca="1">SUMIF(OFFSET(INDIRECT("B"&amp;$F44), 4, 0):INDIRECT("B"&amp;$F45), "*"&amp;$K$2&amp;"*", OFFSET(INDIRECT("C"&amp;$F44), 4, 0):OFFSET(INDIRECT("C"&amp;$F45), -1, 0))</f>
        <v>83.55</v>
      </c>
      <c r="L44" s="3">
        <f ca="1">SUMIF(OFFSET(INDIRECT("B"&amp;$F44), 4, 0):INDIRECT("B"&amp;$F45), "*"&amp;$L$2&amp;"*", OFFSET(INDIRECT("C"&amp;$F44), 4, 0):OFFSET(INDIRECT("C"&amp;$F45), -1, 0))</f>
        <v>213.94</v>
      </c>
      <c r="M44" s="3">
        <f ca="1">SUMIF(OFFSET(INDIRECT("B"&amp;$F44), 4, 0):INDIRECT("B"&amp;$F45), "*"&amp;$M$2&amp;"*", OFFSET(INDIRECT("C"&amp;$F44), 4, 0):OFFSET(INDIRECT("C"&amp;$F45), -1, 0))</f>
        <v>164.4</v>
      </c>
      <c r="N44" s="3">
        <f ca="1">SUMIF(OFFSET(INDIRECT("B"&amp;$F44), 4, 0):INDIRECT("B"&amp;$F45), "*"&amp;$N$2&amp;"*", OFFSET(INDIRECT("C"&amp;$F44), 4, 0):OFFSET(INDIRECT("C"&amp;$F45), -1, 0))</f>
        <v>57.5</v>
      </c>
      <c r="O44" s="3">
        <f ca="1">SUMIF(OFFSET(INDIRECT("B"&amp;$F44), 4, 0):INDIRECT("B"&amp;$F45), "*"&amp;$O$2&amp;"*", OFFSET(INDIRECT("C"&amp;$F44), 4, 0):OFFSET(INDIRECT("C"&amp;$F45), -1, 0))</f>
        <v>0</v>
      </c>
      <c r="P44" s="3">
        <f ca="1">SUMIF(OFFSET(INDIRECT("B"&amp;$F44), 4, 0):INDIRECT("B"&amp;$F45), "*"&amp;$P$2&amp;"*", OFFSET(INDIRECT("C"&amp;$F44), 4, 0):OFFSET(INDIRECT("C"&amp;$F45), -1, 0))</f>
        <v>563.5</v>
      </c>
      <c r="Q44" s="3">
        <f t="shared" ca="1" si="1"/>
        <v>1655.24</v>
      </c>
      <c r="S44" s="1" t="s">
        <v>197</v>
      </c>
      <c r="T44" s="3">
        <f ca="1">SUMIF($H$3:$H$120, "E", $N$3:$N$120)</f>
        <v>3833.6000000000013</v>
      </c>
      <c r="W44" s="1" t="s">
        <v>127</v>
      </c>
    </row>
    <row r="45" spans="1:23" x14ac:dyDescent="0.25">
      <c r="A45" s="1">
        <f t="shared" si="0"/>
        <v>0</v>
      </c>
      <c r="B45" s="1" t="s">
        <v>33</v>
      </c>
      <c r="C45" s="1">
        <v>80</v>
      </c>
      <c r="D45" s="1">
        <v>2</v>
      </c>
      <c r="F45" s="4" cm="1">
        <f t="array" aca="1" ref="F45" ca="1">INDEX(OFFSET(INDIRECT("A"&amp;F44), 1, 0):OFFSET(OFFSET(INDIRECT("A"&amp;F44), 1, 0), 100, 0),MATCH(TRUE,INDEX(OFFSET(INDIRECT("A"&amp;F44), 1, 0):OFFSET(OFFSET(INDIRECT("A"&amp;F44), 1, 0), 100, 0)&lt;&gt;0,),0))</f>
        <v>1160</v>
      </c>
      <c r="G45" s="1" t="str" cm="1">
        <f t="array" aca="1" ref="G45" ca="1">INDIRECT("B"&amp;$F45)</f>
        <v>WS</v>
      </c>
      <c r="H45" s="3" t="str" cm="1">
        <f t="array" aca="1" ref="H45" ca="1">_xlfn.IFS(COUNTIF($V$3:$V$18, G45)&lt;&gt;0, "S", COUNTIF($W$3:$W$99, G45)&lt;&gt;0, "E", COUNTIF($X$3, G45)&lt;&gt;0, "I", COUNTIF($Y$3:$Y$8, G45)&lt;&gt;0, "W")</f>
        <v>E</v>
      </c>
      <c r="I45" s="3">
        <f ca="1">SUMIF(OFFSET(INDIRECT("B"&amp;$F45), 4, 0):INDIRECT("B"&amp;$F46), "*"&amp;$I$2&amp;"*", OFFSET(INDIRECT("C"&amp;$F45), 4, 0):OFFSET(INDIRECT("C"&amp;$F46), -1, 0))</f>
        <v>474.4</v>
      </c>
      <c r="J45" s="3">
        <f ca="1">SUMIF(OFFSET(INDIRECT("B"&amp;$F45), 4, 0):INDIRECT("B"&amp;$F46), "*"&amp;$J$2&amp;"*", OFFSET(INDIRECT("C"&amp;$F45), 4, 0):OFFSET(INDIRECT("C"&amp;$F46), -1, 0))</f>
        <v>0</v>
      </c>
      <c r="K45" s="3">
        <f ca="1">SUMIF(OFFSET(INDIRECT("B"&amp;$F45), 4, 0):INDIRECT("B"&amp;$F46), "*"&amp;$K$2&amp;"*", OFFSET(INDIRECT("C"&amp;$F45), 4, 0):OFFSET(INDIRECT("C"&amp;$F46), -1, 0))</f>
        <v>28.75</v>
      </c>
      <c r="L45" s="3">
        <f ca="1">SUMIF(OFFSET(INDIRECT("B"&amp;$F45), 4, 0):INDIRECT("B"&amp;$F46), "*"&amp;$L$2&amp;"*", OFFSET(INDIRECT("C"&amp;$F45), 4, 0):OFFSET(INDIRECT("C"&amp;$F46), -1, 0))</f>
        <v>92.789999999999992</v>
      </c>
      <c r="M45" s="3">
        <f ca="1">SUMIF(OFFSET(INDIRECT("B"&amp;$F45), 4, 0):INDIRECT("B"&amp;$F46), "*"&amp;$M$2&amp;"*", OFFSET(INDIRECT("C"&amp;$F45), 4, 0):OFFSET(INDIRECT("C"&amp;$F46), -1, 0))</f>
        <v>38.4</v>
      </c>
      <c r="N45" s="3">
        <f ca="1">SUMIF(OFFSET(INDIRECT("B"&amp;$F45), 4, 0):INDIRECT("B"&amp;$F46), "*"&amp;$N$2&amp;"*", OFFSET(INDIRECT("C"&amp;$F45), 4, 0):OFFSET(INDIRECT("C"&amp;$F46), -1, 0))</f>
        <v>0</v>
      </c>
      <c r="O45" s="3">
        <f ca="1">SUMIF(OFFSET(INDIRECT("B"&amp;$F45), 4, 0):INDIRECT("B"&amp;$F46), "*"&amp;$O$2&amp;"*", OFFSET(INDIRECT("C"&amp;$F45), 4, 0):OFFSET(INDIRECT("C"&amp;$F46), -1, 0))</f>
        <v>0</v>
      </c>
      <c r="P45" s="3">
        <f ca="1">SUMIF(OFFSET(INDIRECT("B"&amp;$F45), 4, 0):INDIRECT("B"&amp;$F46), "*"&amp;$P$2&amp;"*", OFFSET(INDIRECT("C"&amp;$F45), 4, 0):OFFSET(INDIRECT("C"&amp;$F46), -1, 0))</f>
        <v>172.7</v>
      </c>
      <c r="Q45" s="3">
        <f t="shared" ca="1" si="1"/>
        <v>807.04</v>
      </c>
      <c r="S45" s="1" t="s">
        <v>198</v>
      </c>
      <c r="T45" s="3">
        <f ca="1">SUMIF($H$3:$H$120, "S", $N$3:$N$120)</f>
        <v>4363.8200000000006</v>
      </c>
      <c r="W45" s="1" t="s">
        <v>72</v>
      </c>
    </row>
    <row r="46" spans="1:23" x14ac:dyDescent="0.25">
      <c r="A46" s="1">
        <f t="shared" si="0"/>
        <v>0</v>
      </c>
      <c r="B46" s="1" t="s">
        <v>34</v>
      </c>
      <c r="C46" s="1">
        <v>64</v>
      </c>
      <c r="D46" s="1">
        <v>1</v>
      </c>
      <c r="F46" s="4" cm="1">
        <f t="array" aca="1" ref="F46" ca="1">INDEX(OFFSET(INDIRECT("A"&amp;F45), 1, 0):OFFSET(OFFSET(INDIRECT("A"&amp;F45), 1, 0), 100, 0),MATCH(TRUE,INDEX(OFFSET(INDIRECT("A"&amp;F45), 1, 0):OFFSET(OFFSET(INDIRECT("A"&amp;F45), 1, 0), 100, 0)&lt;&gt;0,),0))</f>
        <v>1180</v>
      </c>
      <c r="G46" s="1" t="str" cm="1">
        <f t="array" aca="1" ref="G46" ca="1">INDIRECT("B"&amp;$F46)</f>
        <v>DN</v>
      </c>
      <c r="H46" s="3" t="str" cm="1">
        <f t="array" aca="1" ref="H46" ca="1">_xlfn.IFS(COUNTIF($V$3:$V$18, G46)&lt;&gt;0, "S", COUNTIF($W$3:$W$99, G46)&lt;&gt;0, "E", COUNTIF($X$3, G46)&lt;&gt;0, "I", COUNTIF($Y$3:$Y$8, G46)&lt;&gt;0, "W")</f>
        <v>E</v>
      </c>
      <c r="I46" s="3">
        <f ca="1">SUMIF(OFFSET(INDIRECT("B"&amp;$F46), 4, 0):INDIRECT("B"&amp;$F47), "*"&amp;$I$2&amp;"*", OFFSET(INDIRECT("C"&amp;$F46), 4, 0):OFFSET(INDIRECT("C"&amp;$F47), -1, 0))</f>
        <v>1214.4000000000001</v>
      </c>
      <c r="J46" s="3">
        <f ca="1">SUMIF(OFFSET(INDIRECT("B"&amp;$F46), 4, 0):INDIRECT("B"&amp;$F47), "*"&amp;$J$2&amp;"*", OFFSET(INDIRECT("C"&amp;$F46), 4, 0):OFFSET(INDIRECT("C"&amp;$F47), -1, 0))</f>
        <v>72.960000000000008</v>
      </c>
      <c r="K46" s="3">
        <f ca="1">SUMIF(OFFSET(INDIRECT("B"&amp;$F46), 4, 0):INDIRECT("B"&amp;$F47), "*"&amp;$K$2&amp;"*", OFFSET(INDIRECT("C"&amp;$F46), 4, 0):OFFSET(INDIRECT("C"&amp;$F47), -1, 0))</f>
        <v>54.8</v>
      </c>
      <c r="L46" s="3">
        <f ca="1">SUMIF(OFFSET(INDIRECT("B"&amp;$F46), 4, 0):INDIRECT("B"&amp;$F47), "*"&amp;$L$2&amp;"*", OFFSET(INDIRECT("C"&amp;$F46), 4, 0):OFFSET(INDIRECT("C"&amp;$F47), -1, 0))</f>
        <v>55.99</v>
      </c>
      <c r="M46" s="3">
        <f ca="1">SUMIF(OFFSET(INDIRECT("B"&amp;$F46), 4, 0):INDIRECT("B"&amp;$F47), "*"&amp;$M$2&amp;"*", OFFSET(INDIRECT("C"&amp;$F46), 4, 0):OFFSET(INDIRECT("C"&amp;$F47), -1, 0))</f>
        <v>0</v>
      </c>
      <c r="N46" s="3">
        <f ca="1">SUMIF(OFFSET(INDIRECT("B"&amp;$F46), 4, 0):INDIRECT("B"&amp;$F47), "*"&amp;$N$2&amp;"*", OFFSET(INDIRECT("C"&amp;$F46), 4, 0):OFFSET(INDIRECT("C"&amp;$F47), -1, 0))</f>
        <v>101.71000000000001</v>
      </c>
      <c r="O46" s="3">
        <f ca="1">SUMIF(OFFSET(INDIRECT("B"&amp;$F46), 4, 0):INDIRECT("B"&amp;$F47), "*"&amp;$O$2&amp;"*", OFFSET(INDIRECT("C"&amp;$F46), 4, 0):OFFSET(INDIRECT("C"&amp;$F47), -1, 0))</f>
        <v>0</v>
      </c>
      <c r="P46" s="3">
        <f ca="1">SUMIF(OFFSET(INDIRECT("B"&amp;$F46), 4, 0):INDIRECT("B"&amp;$F47), "*"&amp;$P$2&amp;"*", OFFSET(INDIRECT("C"&amp;$F46), 4, 0):OFFSET(INDIRECT("C"&amp;$F47), -1, 0))</f>
        <v>143.94999999999999</v>
      </c>
      <c r="Q46" s="3">
        <f t="shared" ca="1" si="1"/>
        <v>1643.8100000000002</v>
      </c>
      <c r="S46" s="1" t="s">
        <v>205</v>
      </c>
      <c r="T46" s="3">
        <f ca="1">SUMIF($H$3:$H$120, "I", $N$3:$N$120)</f>
        <v>28.75</v>
      </c>
      <c r="W46" s="1" t="s">
        <v>108</v>
      </c>
    </row>
    <row r="47" spans="1:23" x14ac:dyDescent="0.25">
      <c r="A47" s="1">
        <f t="shared" si="0"/>
        <v>0</v>
      </c>
      <c r="B47" s="1" t="s">
        <v>35</v>
      </c>
      <c r="C47" s="1">
        <v>38.4</v>
      </c>
      <c r="D47" s="1">
        <v>2</v>
      </c>
      <c r="F47" s="4" cm="1">
        <f t="array" aca="1" ref="F47" ca="1">INDEX(OFFSET(INDIRECT("A"&amp;F46), 1, 0):OFFSET(OFFSET(INDIRECT("A"&amp;F46), 1, 0), 100, 0),MATCH(TRUE,INDEX(OFFSET(INDIRECT("A"&amp;F46), 1, 0):OFFSET(OFFSET(INDIRECT("A"&amp;F46), 1, 0), 100, 0)&lt;&gt;0,),0))</f>
        <v>1205</v>
      </c>
      <c r="G47" s="1" t="str" cm="1">
        <f t="array" aca="1" ref="G47" ca="1">INDIRECT("B"&amp;$F47)</f>
        <v>DH</v>
      </c>
      <c r="H47" s="3" t="str" cm="1">
        <f t="array" aca="1" ref="H47" ca="1">_xlfn.IFS(COUNTIF($V$3:$V$18, G47)&lt;&gt;0, "S", COUNTIF($W$3:$W$99, G47)&lt;&gt;0, "E", COUNTIF($X$3, G47)&lt;&gt;0, "I", COUNTIF($Y$3:$Y$8, G47)&lt;&gt;0, "W")</f>
        <v>E</v>
      </c>
      <c r="I47" s="3">
        <f ca="1">SUMIF(OFFSET(INDIRECT("B"&amp;$F47), 4, 0):INDIRECT("B"&amp;$F48), "*"&amp;$I$2&amp;"*", OFFSET(INDIRECT("C"&amp;$F47), 4, 0):OFFSET(INDIRECT("C"&amp;$F48), -1, 0))</f>
        <v>543.59999999999991</v>
      </c>
      <c r="J47" s="3">
        <f ca="1">SUMIF(OFFSET(INDIRECT("B"&amp;$F47), 4, 0):INDIRECT("B"&amp;$F48), "*"&amp;$J$2&amp;"*", OFFSET(INDIRECT("C"&amp;$F47), 4, 0):OFFSET(INDIRECT("C"&amp;$F48), -1, 0))</f>
        <v>170</v>
      </c>
      <c r="K47" s="3">
        <f ca="1">SUMIF(OFFSET(INDIRECT("B"&amp;$F47), 4, 0):INDIRECT("B"&amp;$F48), "*"&amp;$K$2&amp;"*", OFFSET(INDIRECT("C"&amp;$F47), 4, 0):OFFSET(INDIRECT("C"&amp;$F48), -1, 0))</f>
        <v>0</v>
      </c>
      <c r="L47" s="3">
        <f ca="1">SUMIF(OFFSET(INDIRECT("B"&amp;$F47), 4, 0):INDIRECT("B"&amp;$F48), "*"&amp;$L$2&amp;"*", OFFSET(INDIRECT("C"&amp;$F47), 4, 0):OFFSET(INDIRECT("C"&amp;$F48), -1, 0))</f>
        <v>0</v>
      </c>
      <c r="M47" s="3">
        <f ca="1">SUMIF(OFFSET(INDIRECT("B"&amp;$F47), 4, 0):INDIRECT("B"&amp;$F48), "*"&amp;$M$2&amp;"*", OFFSET(INDIRECT("C"&amp;$F47), 4, 0):OFFSET(INDIRECT("C"&amp;$F48), -1, 0))</f>
        <v>221.20000000000002</v>
      </c>
      <c r="N47" s="3">
        <f ca="1">SUMIF(OFFSET(INDIRECT("B"&amp;$F47), 4, 0):INDIRECT("B"&amp;$F48), "*"&amp;$N$2&amp;"*", OFFSET(INDIRECT("C"&amp;$F47), 4, 0):OFFSET(INDIRECT("C"&amp;$F48), -1, 0))</f>
        <v>57.5</v>
      </c>
      <c r="O47" s="3">
        <f ca="1">SUMIF(OFFSET(INDIRECT("B"&amp;$F47), 4, 0):INDIRECT("B"&amp;$F48), "*"&amp;$O$2&amp;"*", OFFSET(INDIRECT("C"&amp;$F47), 4, 0):OFFSET(INDIRECT("C"&amp;$F48), -1, 0))</f>
        <v>0</v>
      </c>
      <c r="P47" s="3">
        <f ca="1">SUMIF(OFFSET(INDIRECT("B"&amp;$F47), 4, 0):INDIRECT("B"&amp;$F48), "*"&amp;$P$2&amp;"*", OFFSET(INDIRECT("C"&amp;$F47), 4, 0):OFFSET(INDIRECT("C"&amp;$F48), -1, 0))</f>
        <v>345.59999999999997</v>
      </c>
      <c r="Q47" s="3">
        <f t="shared" ca="1" si="1"/>
        <v>1337.8999999999999</v>
      </c>
      <c r="S47" s="1" t="s">
        <v>206</v>
      </c>
      <c r="T47" s="3">
        <f ca="1">SUMIF($H$3:$H$120, "W", $N$3:$N$120)</f>
        <v>95.9</v>
      </c>
      <c r="W47" s="1" t="s">
        <v>135</v>
      </c>
    </row>
    <row r="48" spans="1:23" x14ac:dyDescent="0.25">
      <c r="A48" s="1">
        <f t="shared" si="0"/>
        <v>0</v>
      </c>
      <c r="B48" s="1" t="s">
        <v>36</v>
      </c>
      <c r="C48" s="1">
        <v>38.4</v>
      </c>
      <c r="D48" s="1">
        <v>1</v>
      </c>
      <c r="F48" s="4" cm="1">
        <f t="array" aca="1" ref="F48" ca="1">INDEX(OFFSET(INDIRECT("A"&amp;F47), 1, 0):OFFSET(OFFSET(INDIRECT("A"&amp;F47), 1, 0), 100, 0),MATCH(TRUE,INDEX(OFFSET(INDIRECT("A"&amp;F47), 1, 0):OFFSET(OFFSET(INDIRECT("A"&amp;F47), 1, 0), 100, 0)&lt;&gt;0,),0))</f>
        <v>1228</v>
      </c>
      <c r="G48" s="1" t="str" cm="1">
        <f t="array" aca="1" ref="G48" ca="1">INDIRECT("B"&amp;$F48)</f>
        <v>LS</v>
      </c>
      <c r="H48" s="3" t="str" cm="1">
        <f t="array" aca="1" ref="H48" ca="1">_xlfn.IFS(COUNTIF($V$3:$V$18, G48)&lt;&gt;0, "S", COUNTIF($W$3:$W$99, G48)&lt;&gt;0, "E", COUNTIF($X$3, G48)&lt;&gt;0, "I", COUNTIF($Y$3:$Y$8, G48)&lt;&gt;0, "W")</f>
        <v>E</v>
      </c>
      <c r="I48" s="3">
        <f ca="1">SUMIF(OFFSET(INDIRECT("B"&amp;$F48), 4, 0):INDIRECT("B"&amp;$F49), "*"&amp;$I$2&amp;"*", OFFSET(INDIRECT("C"&amp;$F48), 4, 0):OFFSET(INDIRECT("C"&amp;$F49), -1, 0))</f>
        <v>1644</v>
      </c>
      <c r="J48" s="3">
        <f ca="1">SUMIF(OFFSET(INDIRECT("B"&amp;$F48), 4, 0):INDIRECT("B"&amp;$F49), "*"&amp;$J$2&amp;"*", OFFSET(INDIRECT("C"&amp;$F48), 4, 0):OFFSET(INDIRECT("C"&amp;$F49), -1, 0))</f>
        <v>38.4</v>
      </c>
      <c r="K48" s="3">
        <f ca="1">SUMIF(OFFSET(INDIRECT("B"&amp;$F48), 4, 0):INDIRECT("B"&amp;$F49), "*"&amp;$K$2&amp;"*", OFFSET(INDIRECT("C"&amp;$F48), 4, 0):OFFSET(INDIRECT("C"&amp;$F49), -1, 0))</f>
        <v>78.400000000000006</v>
      </c>
      <c r="L48" s="3">
        <f ca="1">SUMIF(OFFSET(INDIRECT("B"&amp;$F48), 4, 0):INDIRECT("B"&amp;$F49), "*"&amp;$L$2&amp;"*", OFFSET(INDIRECT("C"&amp;$F48), 4, 0):OFFSET(INDIRECT("C"&amp;$F49), -1, 0))</f>
        <v>54.39</v>
      </c>
      <c r="M48" s="3">
        <f ca="1">SUMIF(OFFSET(INDIRECT("B"&amp;$F48), 4, 0):INDIRECT("B"&amp;$F49), "*"&amp;$M$2&amp;"*", OFFSET(INDIRECT("C"&amp;$F48), 4, 0):OFFSET(INDIRECT("C"&amp;$F49), -1, 0))</f>
        <v>186.4</v>
      </c>
      <c r="N48" s="3">
        <f ca="1">SUMIF(OFFSET(INDIRECT("B"&amp;$F48), 4, 0):INDIRECT("B"&amp;$F49), "*"&amp;$N$2&amp;"*", OFFSET(INDIRECT("C"&amp;$F48), 4, 0):OFFSET(INDIRECT("C"&amp;$F49), -1, 0))</f>
        <v>57.5</v>
      </c>
      <c r="O48" s="3">
        <f ca="1">SUMIF(OFFSET(INDIRECT("B"&amp;$F48), 4, 0):INDIRECT("B"&amp;$F49), "*"&amp;$O$2&amp;"*", OFFSET(INDIRECT("C"&amp;$F48), 4, 0):OFFSET(INDIRECT("C"&amp;$F49), -1, 0))</f>
        <v>153.6</v>
      </c>
      <c r="P48" s="3">
        <f ca="1">SUMIF(OFFSET(INDIRECT("B"&amp;$F48), 4, 0):INDIRECT("B"&amp;$F49), "*"&amp;$P$2&amp;"*", OFFSET(INDIRECT("C"&amp;$F48), 4, 0):OFFSET(INDIRECT("C"&amp;$F49), -1, 0))</f>
        <v>823.94999999999993</v>
      </c>
      <c r="Q48" s="3">
        <f t="shared" ca="1" si="1"/>
        <v>3036.64</v>
      </c>
      <c r="S48" s="1" t="s">
        <v>215</v>
      </c>
      <c r="T48" s="3">
        <f ca="1">SUM(T44:T47)</f>
        <v>8322.0700000000015</v>
      </c>
      <c r="W48" s="1" t="s">
        <v>116</v>
      </c>
    </row>
    <row r="49" spans="1:23" x14ac:dyDescent="0.25">
      <c r="A49" s="1">
        <f t="shared" si="0"/>
        <v>0</v>
      </c>
      <c r="B49" s="1" t="s">
        <v>37</v>
      </c>
      <c r="C49" s="1">
        <v>54.8</v>
      </c>
      <c r="D49" s="1">
        <v>1</v>
      </c>
      <c r="F49" s="4" cm="1">
        <f t="array" aca="1" ref="F49" ca="1">INDEX(OFFSET(INDIRECT("A"&amp;F48), 1, 0):OFFSET(OFFSET(INDIRECT("A"&amp;F48), 1, 0), 100, 0),MATCH(TRUE,INDEX(OFFSET(INDIRECT("A"&amp;F48), 1, 0):OFFSET(OFFSET(INDIRECT("A"&amp;F48), 1, 0), 100, 0)&lt;&gt;0,),0))</f>
        <v>1257</v>
      </c>
      <c r="G49" s="1" t="str" cm="1">
        <f t="array" aca="1" ref="G49" ca="1">INDIRECT("B"&amp;$F49)</f>
        <v>LN</v>
      </c>
      <c r="H49" s="3" t="str" cm="1">
        <f t="array" aca="1" ref="H49" ca="1">_xlfn.IFS(COUNTIF($V$3:$V$18, G49)&lt;&gt;0, "S", COUNTIF($W$3:$W$99, G49)&lt;&gt;0, "E", COUNTIF($X$3, G49)&lt;&gt;0, "I", COUNTIF($Y$3:$Y$8, G49)&lt;&gt;0, "W")</f>
        <v>E</v>
      </c>
      <c r="I49" s="3">
        <f ca="1">SUMIF(OFFSET(INDIRECT("B"&amp;$F49), 4, 0):INDIRECT("B"&amp;$F50), "*"&amp;$I$2&amp;"*", OFFSET(INDIRECT("C"&amp;$F49), 4, 0):OFFSET(INDIRECT("C"&amp;$F50), -1, 0))</f>
        <v>354.8</v>
      </c>
      <c r="J49" s="3">
        <f ca="1">SUMIF(OFFSET(INDIRECT("B"&amp;$F49), 4, 0):INDIRECT("B"&amp;$F50), "*"&amp;$J$2&amp;"*", OFFSET(INDIRECT("C"&amp;$F49), 4, 0):OFFSET(INDIRECT("C"&amp;$F50), -1, 0))</f>
        <v>0</v>
      </c>
      <c r="K49" s="3">
        <f ca="1">SUMIF(OFFSET(INDIRECT("B"&amp;$F49), 4, 0):INDIRECT("B"&amp;$F50), "*"&amp;$K$2&amp;"*", OFFSET(INDIRECT("C"&amp;$F49), 4, 0):OFFSET(INDIRECT("C"&amp;$F50), -1, 0))</f>
        <v>0</v>
      </c>
      <c r="L49" s="3">
        <f ca="1">SUMIF(OFFSET(INDIRECT("B"&amp;$F49), 4, 0):INDIRECT("B"&amp;$F50), "*"&amp;$L$2&amp;"*", OFFSET(INDIRECT("C"&amp;$F49), 4, 0):OFFSET(INDIRECT("C"&amp;$F50), -1, 0))</f>
        <v>0</v>
      </c>
      <c r="M49" s="3">
        <f ca="1">SUMIF(OFFSET(INDIRECT("B"&amp;$F49), 4, 0):INDIRECT("B"&amp;$F50), "*"&amp;$M$2&amp;"*", OFFSET(INDIRECT("C"&amp;$F49), 4, 0):OFFSET(INDIRECT("C"&amp;$F50), -1, 0))</f>
        <v>116.8</v>
      </c>
      <c r="N49" s="3">
        <f ca="1">SUMIF(OFFSET(INDIRECT("B"&amp;$F49), 4, 0):INDIRECT("B"&amp;$F50), "*"&amp;$N$2&amp;"*", OFFSET(INDIRECT("C"&amp;$F49), 4, 0):OFFSET(INDIRECT("C"&amp;$F50), -1, 0))</f>
        <v>67.150000000000006</v>
      </c>
      <c r="O49" s="3">
        <f ca="1">SUMIF(OFFSET(INDIRECT("B"&amp;$F49), 4, 0):INDIRECT("B"&amp;$F50), "*"&amp;$O$2&amp;"*", OFFSET(INDIRECT("C"&amp;$F49), 4, 0):OFFSET(INDIRECT("C"&amp;$F50), -1, 0))</f>
        <v>0</v>
      </c>
      <c r="P49" s="3">
        <f ca="1">SUMIF(OFFSET(INDIRECT("B"&amp;$F49), 4, 0):INDIRECT("B"&amp;$F50), "*"&amp;$P$2&amp;"*", OFFSET(INDIRECT("C"&amp;$F49), 4, 0):OFFSET(INDIRECT("C"&amp;$F50), -1, 0))</f>
        <v>253.10000000000002</v>
      </c>
      <c r="Q49" s="3">
        <f t="shared" ca="1" si="1"/>
        <v>791.85</v>
      </c>
      <c r="W49" s="1" t="s">
        <v>115</v>
      </c>
    </row>
    <row r="50" spans="1:23" ht="15.75" x14ac:dyDescent="0.25">
      <c r="A50" s="1">
        <f t="shared" si="0"/>
        <v>0</v>
      </c>
      <c r="B50" s="1" t="s">
        <v>38</v>
      </c>
      <c r="C50" s="1">
        <v>64</v>
      </c>
      <c r="D50" s="1">
        <v>1</v>
      </c>
      <c r="F50" s="4" cm="1">
        <f t="array" aca="1" ref="F50" ca="1">INDEX(OFFSET(INDIRECT("A"&amp;F49), 1, 0):OFFSET(OFFSET(INDIRECT("A"&amp;F49), 1, 0), 100, 0),MATCH(TRUE,INDEX(OFFSET(INDIRECT("A"&amp;F49), 1, 0):OFFSET(OFFSET(INDIRECT("A"&amp;F49), 1, 0), 100, 0)&lt;&gt;0,),0))</f>
        <v>1277</v>
      </c>
      <c r="G50" s="1" t="str" cm="1">
        <f t="array" aca="1" ref="G50" ca="1">INDIRECT("B"&amp;$F50)</f>
        <v>PA</v>
      </c>
      <c r="H50" s="3" t="str" cm="1">
        <f t="array" aca="1" ref="H50" ca="1">_xlfn.IFS(COUNTIF($V$3:$V$18, G50)&lt;&gt;0, "S", COUNTIF($W$3:$W$99, G50)&lt;&gt;0, "E", COUNTIF($X$3, G50)&lt;&gt;0, "I", COUNTIF($Y$3:$Y$8, G50)&lt;&gt;0, "W")</f>
        <v>S</v>
      </c>
      <c r="I50" s="3">
        <f ca="1">SUMIF(OFFSET(INDIRECT("B"&amp;$F50), 4, 0):INDIRECT("B"&amp;$F51), "*"&amp;$I$2&amp;"*", OFFSET(INDIRECT("C"&amp;$F50), 4, 0):OFFSET(INDIRECT("C"&amp;$F51), -1, 0))</f>
        <v>801.94999999999993</v>
      </c>
      <c r="J50" s="3">
        <f ca="1">SUMIF(OFFSET(INDIRECT("B"&amp;$F50), 4, 0):INDIRECT("B"&amp;$F51), "*"&amp;$J$2&amp;"*", OFFSET(INDIRECT("C"&amp;$F50), 4, 0):OFFSET(INDIRECT("C"&amp;$F51), -1, 0))</f>
        <v>519.54999999999995</v>
      </c>
      <c r="K50" s="3">
        <f ca="1">SUMIF(OFFSET(INDIRECT("B"&amp;$F50), 4, 0):INDIRECT("B"&amp;$F51), "*"&amp;$K$2&amp;"*", OFFSET(INDIRECT("C"&amp;$F50), 4, 0):OFFSET(INDIRECT("C"&amp;$F51), -1, 0))</f>
        <v>198.75</v>
      </c>
      <c r="L50" s="3">
        <f ca="1">SUMIF(OFFSET(INDIRECT("B"&amp;$F50), 4, 0):INDIRECT("B"&amp;$F51), "*"&amp;$L$2&amp;"*", OFFSET(INDIRECT("C"&amp;$F50), 4, 0):OFFSET(INDIRECT("C"&amp;$F51), -1, 0))</f>
        <v>191.52999999999997</v>
      </c>
      <c r="M50" s="3">
        <f ca="1">SUMIF(OFFSET(INDIRECT("B"&amp;$F50), 4, 0):INDIRECT("B"&amp;$F51), "*"&amp;$M$2&amp;"*", OFFSET(INDIRECT("C"&amp;$F50), 4, 0):OFFSET(INDIRECT("C"&amp;$F51), -1, 0))</f>
        <v>382.00000000000006</v>
      </c>
      <c r="N50" s="3">
        <f ca="1">SUMIF(OFFSET(INDIRECT("B"&amp;$F50), 4, 0):INDIRECT("B"&amp;$F51), "*"&amp;$N$2&amp;"*", OFFSET(INDIRECT("C"&amp;$F50), 4, 0):OFFSET(INDIRECT("C"&amp;$F51), -1, 0))</f>
        <v>67.150000000000006</v>
      </c>
      <c r="O50" s="3">
        <f ca="1">SUMIF(OFFSET(INDIRECT("B"&amp;$F50), 4, 0):INDIRECT("B"&amp;$F51), "*"&amp;$O$2&amp;"*", OFFSET(INDIRECT("C"&amp;$F50), 4, 0):OFFSET(INDIRECT("C"&amp;$F51), -1, 0))</f>
        <v>192</v>
      </c>
      <c r="P50" s="3">
        <f ca="1">SUMIF(OFFSET(INDIRECT("B"&amp;$F50), 4, 0):INDIRECT("B"&amp;$F51), "*"&amp;$P$2&amp;"*", OFFSET(INDIRECT("C"&amp;$F50), 4, 0):OFFSET(INDIRECT("C"&amp;$F51), -1, 0))</f>
        <v>1141.2</v>
      </c>
      <c r="Q50" s="3">
        <f t="shared" ca="1" si="1"/>
        <v>3494.13</v>
      </c>
      <c r="S50" s="7" t="str">
        <f>O2</f>
        <v>Cloudy</v>
      </c>
      <c r="W50" s="1" t="s">
        <v>181</v>
      </c>
    </row>
    <row r="51" spans="1:23" x14ac:dyDescent="0.25">
      <c r="A51" s="1">
        <f t="shared" si="0"/>
        <v>0</v>
      </c>
      <c r="B51" s="1" t="s">
        <v>19</v>
      </c>
      <c r="C51" s="1">
        <v>28.75</v>
      </c>
      <c r="D51" s="1">
        <v>1</v>
      </c>
      <c r="F51" s="4" cm="1">
        <f t="array" aca="1" ref="F51" ca="1">INDEX(OFFSET(INDIRECT("A"&amp;F50), 1, 0):OFFSET(OFFSET(INDIRECT("A"&amp;F50), 1, 0), 100, 0),MATCH(TRUE,INDEX(OFFSET(INDIRECT("A"&amp;F50), 1, 0):OFFSET(OFFSET(INDIRECT("A"&amp;F50), 1, 0), 100, 0)&lt;&gt;0,),0))</f>
        <v>1316</v>
      </c>
      <c r="G51" s="1" t="str" cm="1">
        <f t="array" aca="1" ref="G51" ca="1">INDIRECT("B"&amp;$F51)</f>
        <v>LL</v>
      </c>
      <c r="H51" s="3" t="str" cm="1">
        <f t="array" aca="1" ref="H51" ca="1">_xlfn.IFS(COUNTIF($V$3:$V$18, G51)&lt;&gt;0, "S", COUNTIF($W$3:$W$99, G51)&lt;&gt;0, "E", COUNTIF($X$3, G51)&lt;&gt;0, "I", COUNTIF($Y$3:$Y$8, G51)&lt;&gt;0, "W")</f>
        <v>W</v>
      </c>
      <c r="I51" s="3">
        <f ca="1">SUMIF(OFFSET(INDIRECT("B"&amp;$F51), 4, 0):INDIRECT("B"&amp;$F52), "*"&amp;$I$2&amp;"*", OFFSET(INDIRECT("C"&amp;$F51), 4, 0):OFFSET(INDIRECT("C"&amp;$F52), -1, 0))</f>
        <v>804.40000000000009</v>
      </c>
      <c r="J51" s="3">
        <f ca="1">SUMIF(OFFSET(INDIRECT("B"&amp;$F51), 4, 0):INDIRECT("B"&amp;$F52), "*"&amp;$J$2&amp;"*", OFFSET(INDIRECT("C"&amp;$F51), 4, 0):OFFSET(INDIRECT("C"&amp;$F52), -1, 0))</f>
        <v>0</v>
      </c>
      <c r="K51" s="3">
        <f ca="1">SUMIF(OFFSET(INDIRECT("B"&amp;$F51), 4, 0):INDIRECT("B"&amp;$F52), "*"&amp;$K$2&amp;"*", OFFSET(INDIRECT("C"&amp;$F51), 4, 0):OFFSET(INDIRECT("C"&amp;$F52), -1, 0))</f>
        <v>0</v>
      </c>
      <c r="L51" s="3">
        <f ca="1">SUMIF(OFFSET(INDIRECT("B"&amp;$F51), 4, 0):INDIRECT("B"&amp;$F52), "*"&amp;$L$2&amp;"*", OFFSET(INDIRECT("C"&amp;$F51), 4, 0):OFFSET(INDIRECT("C"&amp;$F52), -1, 0))</f>
        <v>38.4</v>
      </c>
      <c r="M51" s="3">
        <f ca="1">SUMIF(OFFSET(INDIRECT("B"&amp;$F51), 4, 0):INDIRECT("B"&amp;$F52), "*"&amp;$M$2&amp;"*", OFFSET(INDIRECT("C"&amp;$F51), 4, 0):OFFSET(INDIRECT("C"&amp;$F52), -1, 0))</f>
        <v>0</v>
      </c>
      <c r="N51" s="3">
        <f ca="1">SUMIF(OFFSET(INDIRECT("B"&amp;$F51), 4, 0):INDIRECT("B"&amp;$F52), "*"&amp;$N$2&amp;"*", OFFSET(INDIRECT("C"&amp;$F51), 4, 0):OFFSET(INDIRECT("C"&amp;$F52), -1, 0))</f>
        <v>0</v>
      </c>
      <c r="O51" s="3">
        <f ca="1">SUMIF(OFFSET(INDIRECT("B"&amp;$F51), 4, 0):INDIRECT("B"&amp;$F52), "*"&amp;$O$2&amp;"*", OFFSET(INDIRECT("C"&amp;$F51), 4, 0):OFFSET(INDIRECT("C"&amp;$F52), -1, 0))</f>
        <v>0</v>
      </c>
      <c r="P51" s="3">
        <f ca="1">SUMIF(OFFSET(INDIRECT("B"&amp;$F51), 4, 0):INDIRECT("B"&amp;$F52), "*"&amp;$P$2&amp;"*", OFFSET(INDIRECT("C"&amp;$F51), 4, 0):OFFSET(INDIRECT("C"&amp;$F52), -1, 0))</f>
        <v>427.6</v>
      </c>
      <c r="Q51" s="3">
        <f t="shared" ca="1" si="1"/>
        <v>1270.4000000000001</v>
      </c>
      <c r="S51" s="1" t="s">
        <v>217</v>
      </c>
      <c r="T51" s="1" t="s">
        <v>4</v>
      </c>
      <c r="W51" s="1" t="s">
        <v>155</v>
      </c>
    </row>
    <row r="52" spans="1:23" x14ac:dyDescent="0.25">
      <c r="A52" s="1">
        <f t="shared" si="0"/>
        <v>0</v>
      </c>
      <c r="B52" s="1" t="s">
        <v>39</v>
      </c>
      <c r="C52" s="1">
        <v>40</v>
      </c>
      <c r="D52" s="1">
        <v>1</v>
      </c>
      <c r="F52" s="4" cm="1">
        <f t="array" aca="1" ref="F52" ca="1">INDEX(OFFSET(INDIRECT("A"&amp;F51), 1, 0):OFFSET(OFFSET(INDIRECT("A"&amp;F51), 1, 0), 100, 0),MATCH(TRUE,INDEX(OFFSET(INDIRECT("A"&amp;F51), 1, 0):OFFSET(OFFSET(INDIRECT("A"&amp;F51), 1, 0), 100, 0)&lt;&gt;0,),0))</f>
        <v>1333</v>
      </c>
      <c r="G52" s="1" t="str" cm="1">
        <f t="array" aca="1" ref="G52" ca="1">INDIRECT("B"&amp;$F52)</f>
        <v>NE</v>
      </c>
      <c r="H52" s="3" t="str" cm="1">
        <f t="array" aca="1" ref="H52" ca="1">_xlfn.IFS(COUNTIF($V$3:$V$18, G52)&lt;&gt;0, "S", COUNTIF($W$3:$W$99, G52)&lt;&gt;0, "E", COUNTIF($X$3, G52)&lt;&gt;0, "I", COUNTIF($Y$3:$Y$8, G52)&lt;&gt;0, "W")</f>
        <v>E</v>
      </c>
      <c r="I52" s="3">
        <f ca="1">SUMIF(OFFSET(INDIRECT("B"&amp;$F52), 4, 0):INDIRECT("B"&amp;$F53), "*"&amp;$I$2&amp;"*", OFFSET(INDIRECT("C"&amp;$F52), 4, 0):OFFSET(INDIRECT("C"&amp;$F53), -1, 0))</f>
        <v>3639.9499999999994</v>
      </c>
      <c r="J52" s="3">
        <f ca="1">SUMIF(OFFSET(INDIRECT("B"&amp;$F52), 4, 0):INDIRECT("B"&amp;$F53), "*"&amp;$J$2&amp;"*", OFFSET(INDIRECT("C"&amp;$F52), 4, 0):OFFSET(INDIRECT("C"&amp;$F53), -1, 0))</f>
        <v>525.20000000000005</v>
      </c>
      <c r="K52" s="3">
        <f ca="1">SUMIF(OFFSET(INDIRECT("B"&amp;$F52), 4, 0):INDIRECT("B"&amp;$F53), "*"&amp;$K$2&amp;"*", OFFSET(INDIRECT("C"&amp;$F52), 4, 0):OFFSET(INDIRECT("C"&amp;$F53), -1, 0))</f>
        <v>274</v>
      </c>
      <c r="L52" s="3">
        <f ca="1">SUMIF(OFFSET(INDIRECT("B"&amp;$F52), 4, 0):INDIRECT("B"&amp;$F53), "*"&amp;$L$2&amp;"*", OFFSET(INDIRECT("C"&amp;$F52), 4, 0):OFFSET(INDIRECT("C"&amp;$F53), -1, 0))</f>
        <v>213.52999999999997</v>
      </c>
      <c r="M52" s="3">
        <f ca="1">SUMIF(OFFSET(INDIRECT("B"&amp;$F52), 4, 0):INDIRECT("B"&amp;$F53), "*"&amp;$M$2&amp;"*", OFFSET(INDIRECT("C"&amp;$F52), 4, 0):OFFSET(INDIRECT("C"&amp;$F53), -1, 0))</f>
        <v>308.8</v>
      </c>
      <c r="N52" s="3">
        <f ca="1">SUMIF(OFFSET(INDIRECT("B"&amp;$F52), 4, 0):INDIRECT("B"&amp;$F53), "*"&amp;$N$2&amp;"*", OFFSET(INDIRECT("C"&amp;$F52), 4, 0):OFFSET(INDIRECT("C"&amp;$F53), -1, 0))</f>
        <v>220.55</v>
      </c>
      <c r="O52" s="3">
        <f ca="1">SUMIF(OFFSET(INDIRECT("B"&amp;$F52), 4, 0):INDIRECT("B"&amp;$F53), "*"&amp;$O$2&amp;"*", OFFSET(INDIRECT("C"&amp;$F52), 4, 0):OFFSET(INDIRECT("C"&amp;$F53), -1, 0))</f>
        <v>38.4</v>
      </c>
      <c r="P52" s="3">
        <f ca="1">SUMIF(OFFSET(INDIRECT("B"&amp;$F52), 4, 0):INDIRECT("B"&amp;$F53), "*"&amp;$P$2&amp;"*", OFFSET(INDIRECT("C"&amp;$F52), 4, 0):OFFSET(INDIRECT("C"&amp;$F53), -1, 0))</f>
        <v>731.9</v>
      </c>
      <c r="Q52" s="3">
        <f t="shared" ca="1" si="1"/>
        <v>5952.329999999999</v>
      </c>
      <c r="S52" s="1" t="s">
        <v>197</v>
      </c>
      <c r="T52" s="3">
        <f ca="1">SUMIF($H$3:$H$120, "E", $O$3:$O$120)</f>
        <v>1734.4000000000005</v>
      </c>
      <c r="W52" s="1" t="s">
        <v>132</v>
      </c>
    </row>
    <row r="53" spans="1:23" x14ac:dyDescent="0.25">
      <c r="A53" s="1">
        <f t="shared" si="0"/>
        <v>0</v>
      </c>
      <c r="B53" s="1" t="s">
        <v>40</v>
      </c>
      <c r="C53" s="1">
        <v>164.4</v>
      </c>
      <c r="D53" s="1">
        <v>3</v>
      </c>
      <c r="F53" s="4" cm="1">
        <f t="array" aca="1" ref="F53" ca="1">INDEX(OFFSET(INDIRECT("A"&amp;F52), 1, 0):OFFSET(OFFSET(INDIRECT("A"&amp;F52), 1, 0), 100, 0),MATCH(TRUE,INDEX(OFFSET(INDIRECT("A"&amp;F52), 1, 0):OFFSET(OFFSET(INDIRECT("A"&amp;F52), 1, 0), 100, 0)&lt;&gt;0,),0))</f>
        <v>1375</v>
      </c>
      <c r="G53" s="1" t="str" cm="1">
        <f t="array" aca="1" ref="G53" ca="1">INDIRECT("B"&amp;$F53)</f>
        <v>CA</v>
      </c>
      <c r="H53" s="3" t="str" cm="1">
        <f t="array" aca="1" ref="H53" ca="1">_xlfn.IFS(COUNTIF($V$3:$V$18, G53)&lt;&gt;0, "S", COUNTIF($W$3:$W$99, G53)&lt;&gt;0, "E", COUNTIF($X$3, G53)&lt;&gt;0, "I", COUNTIF($Y$3:$Y$8, G53)&lt;&gt;0, "W")</f>
        <v>E</v>
      </c>
      <c r="I53" s="3">
        <f ca="1">SUMIF(OFFSET(INDIRECT("B"&amp;$F53), 4, 0):INDIRECT("B"&amp;$F54), "*"&amp;$I$2&amp;"*", OFFSET(INDIRECT("C"&amp;$F53), 4, 0):OFFSET(INDIRECT("C"&amp;$F54), -1, 0))</f>
        <v>439.2</v>
      </c>
      <c r="J53" s="3">
        <f ca="1">SUMIF(OFFSET(INDIRECT("B"&amp;$F53), 4, 0):INDIRECT("B"&amp;$F54), "*"&amp;$J$2&amp;"*", OFFSET(INDIRECT("C"&amp;$F53), 4, 0):OFFSET(INDIRECT("C"&amp;$F54), -1, 0))</f>
        <v>54.8</v>
      </c>
      <c r="K53" s="3">
        <f ca="1">SUMIF(OFFSET(INDIRECT("B"&amp;$F53), 4, 0):INDIRECT("B"&amp;$F54), "*"&amp;$K$2&amp;"*", OFFSET(INDIRECT("C"&amp;$F53), 4, 0):OFFSET(INDIRECT("C"&amp;$F54), -1, 0))</f>
        <v>68.75</v>
      </c>
      <c r="L53" s="3">
        <f ca="1">SUMIF(OFFSET(INDIRECT("B"&amp;$F53), 4, 0):INDIRECT("B"&amp;$F54), "*"&amp;$L$2&amp;"*", OFFSET(INDIRECT("C"&amp;$F53), 4, 0):OFFSET(INDIRECT("C"&amp;$F54), -1, 0))</f>
        <v>131.6</v>
      </c>
      <c r="M53" s="3">
        <f ca="1">SUMIF(OFFSET(INDIRECT("B"&amp;$F53), 4, 0):INDIRECT("B"&amp;$F54), "*"&amp;$M$2&amp;"*", OFFSET(INDIRECT("C"&amp;$F53), 4, 0):OFFSET(INDIRECT("C"&amp;$F54), -1, 0))</f>
        <v>365.59999999999997</v>
      </c>
      <c r="N53" s="3">
        <f ca="1">SUMIF(OFFSET(INDIRECT("B"&amp;$F53), 4, 0):INDIRECT("B"&amp;$F54), "*"&amp;$N$2&amp;"*", OFFSET(INDIRECT("C"&amp;$F53), 4, 0):OFFSET(INDIRECT("C"&amp;$F54), -1, 0))</f>
        <v>124.65</v>
      </c>
      <c r="O53" s="3">
        <f ca="1">SUMIF(OFFSET(INDIRECT("B"&amp;$F53), 4, 0):INDIRECT("B"&amp;$F54), "*"&amp;$O$2&amp;"*", OFFSET(INDIRECT("C"&amp;$F53), 4, 0):OFFSET(INDIRECT("C"&amp;$F54), -1, 0))</f>
        <v>115.2</v>
      </c>
      <c r="P53" s="3">
        <f ca="1">SUMIF(OFFSET(INDIRECT("B"&amp;$F53), 4, 0):INDIRECT("B"&amp;$F54), "*"&amp;$P$2&amp;"*", OFFSET(INDIRECT("C"&amp;$F53), 4, 0):OFFSET(INDIRECT("C"&amp;$F54), -1, 0))</f>
        <v>589.5</v>
      </c>
      <c r="Q53" s="3">
        <f t="shared" ca="1" si="1"/>
        <v>1889.3000000000002</v>
      </c>
      <c r="S53" s="1" t="s">
        <v>198</v>
      </c>
      <c r="T53" s="3">
        <f ca="1">SUMIF($H$3:$H$120, "S", $O$3:$O$120)</f>
        <v>2929.6000000000004</v>
      </c>
      <c r="W53" s="1" t="s">
        <v>160</v>
      </c>
    </row>
    <row r="54" spans="1:23" x14ac:dyDescent="0.25">
      <c r="A54" s="1">
        <f t="shared" si="0"/>
        <v>0</v>
      </c>
      <c r="B54" s="1" t="s">
        <v>41</v>
      </c>
      <c r="C54" s="1">
        <v>57.5</v>
      </c>
      <c r="D54" s="1">
        <v>2</v>
      </c>
      <c r="F54" s="4" cm="1">
        <f t="array" aca="1" ref="F54" ca="1">INDEX(OFFSET(INDIRECT("A"&amp;F53), 1, 0):OFFSET(OFFSET(INDIRECT("A"&amp;F53), 1, 0), 100, 0),MATCH(TRUE,INDEX(OFFSET(INDIRECT("A"&amp;F53), 1, 0):OFFSET(OFFSET(INDIRECT("A"&amp;F53), 1, 0), 100, 0)&lt;&gt;0,),0))</f>
        <v>1407</v>
      </c>
      <c r="G54" s="1" t="str" cm="1">
        <f t="array" aca="1" ref="G54" ca="1">INDIRECT("B"&amp;$F54)</f>
        <v>TN</v>
      </c>
      <c r="H54" s="3" t="str" cm="1">
        <f t="array" aca="1" ref="H54" ca="1">_xlfn.IFS(COUNTIF($V$3:$V$18, G54)&lt;&gt;0, "S", COUNTIF($W$3:$W$99, G54)&lt;&gt;0, "E", COUNTIF($X$3, G54)&lt;&gt;0, "I", COUNTIF($Y$3:$Y$8, G54)&lt;&gt;0, "W")</f>
        <v>E</v>
      </c>
      <c r="I54" s="3">
        <f ca="1">SUMIF(OFFSET(INDIRECT("B"&amp;$F54), 4, 0):INDIRECT("B"&amp;$F55), "*"&amp;$I$2&amp;"*", OFFSET(INDIRECT("C"&amp;$F54), 4, 0):OFFSET(INDIRECT("C"&amp;$F55), -1, 0))</f>
        <v>1260.8</v>
      </c>
      <c r="J54" s="3">
        <f ca="1">SUMIF(OFFSET(INDIRECT("B"&amp;$F54), 4, 0):INDIRECT("B"&amp;$F55), "*"&amp;$J$2&amp;"*", OFFSET(INDIRECT("C"&amp;$F54), 4, 0):OFFSET(INDIRECT("C"&amp;$F55), -1, 0))</f>
        <v>0</v>
      </c>
      <c r="K54" s="3">
        <f ca="1">SUMIF(OFFSET(INDIRECT("B"&amp;$F54), 4, 0):INDIRECT("B"&amp;$F55), "*"&amp;$K$2&amp;"*", OFFSET(INDIRECT("C"&amp;$F54), 4, 0):OFFSET(INDIRECT("C"&amp;$F55), -1, 0))</f>
        <v>0</v>
      </c>
      <c r="L54" s="3">
        <f ca="1">SUMIF(OFFSET(INDIRECT("B"&amp;$F54), 4, 0):INDIRECT("B"&amp;$F55), "*"&amp;$L$2&amp;"*", OFFSET(INDIRECT("C"&amp;$F54), 4, 0):OFFSET(INDIRECT("C"&amp;$F55), -1, 0))</f>
        <v>93.199999999999989</v>
      </c>
      <c r="M54" s="3">
        <f ca="1">SUMIF(OFFSET(INDIRECT("B"&amp;$F54), 4, 0):INDIRECT("B"&amp;$F55), "*"&amp;$M$2&amp;"*", OFFSET(INDIRECT("C"&amp;$F54), 4, 0):OFFSET(INDIRECT("C"&amp;$F55), -1, 0))</f>
        <v>38.4</v>
      </c>
      <c r="N54" s="3">
        <f ca="1">SUMIF(OFFSET(INDIRECT("B"&amp;$F54), 4, 0):INDIRECT("B"&amp;$F55), "*"&amp;$N$2&amp;"*", OFFSET(INDIRECT("C"&amp;$F54), 4, 0):OFFSET(INDIRECT("C"&amp;$F55), -1, 0))</f>
        <v>0</v>
      </c>
      <c r="O54" s="3">
        <f ca="1">SUMIF(OFFSET(INDIRECT("B"&amp;$F54), 4, 0):INDIRECT("B"&amp;$F55), "*"&amp;$O$2&amp;"*", OFFSET(INDIRECT("C"&amp;$F54), 4, 0):OFFSET(INDIRECT("C"&amp;$F55), -1, 0))</f>
        <v>0</v>
      </c>
      <c r="P54" s="3">
        <f ca="1">SUMIF(OFFSET(INDIRECT("B"&amp;$F54), 4, 0):INDIRECT("B"&amp;$F55), "*"&amp;$P$2&amp;"*", OFFSET(INDIRECT("C"&amp;$F54), 4, 0):OFFSET(INDIRECT("C"&amp;$F55), -1, 0))</f>
        <v>237.14999999999998</v>
      </c>
      <c r="Q54" s="3">
        <f t="shared" ca="1" si="1"/>
        <v>1629.5500000000002</v>
      </c>
      <c r="S54" s="1" t="s">
        <v>205</v>
      </c>
      <c r="T54" s="3">
        <f ca="1">SUMIF($H$3:$H$120, "I", $O$3:$O$120)</f>
        <v>0</v>
      </c>
      <c r="W54" s="1" t="s">
        <v>176</v>
      </c>
    </row>
    <row r="55" spans="1:23" x14ac:dyDescent="0.25">
      <c r="A55" s="1">
        <f t="shared" si="0"/>
        <v>0</v>
      </c>
      <c r="B55" s="1" t="s">
        <v>42</v>
      </c>
      <c r="C55" s="1">
        <v>40</v>
      </c>
      <c r="D55" s="1">
        <v>1</v>
      </c>
      <c r="F55" s="4" cm="1">
        <f t="array" aca="1" ref="F55" ca="1">INDEX(OFFSET(INDIRECT("A"&amp;F54), 1, 0):OFFSET(OFFSET(INDIRECT("A"&amp;F54), 1, 0), 100, 0),MATCH(TRUE,INDEX(OFFSET(INDIRECT("A"&amp;F54), 1, 0):OFFSET(OFFSET(INDIRECT("A"&amp;F54), 1, 0), 100, 0)&lt;&gt;0,),0))</f>
        <v>1424</v>
      </c>
      <c r="G55" s="1" t="str" cm="1">
        <f t="array" aca="1" ref="G55" ca="1">INDIRECT("B"&amp;$F55)</f>
        <v>WA</v>
      </c>
      <c r="H55" s="3" t="str" cm="1">
        <f t="array" aca="1" ref="H55" ca="1">_xlfn.IFS(COUNTIF($V$3:$V$18, G55)&lt;&gt;0, "S", COUNTIF($W$3:$W$99, G55)&lt;&gt;0, "E", COUNTIF($X$3, G55)&lt;&gt;0, "I", COUNTIF($Y$3:$Y$8, G55)&lt;&gt;0, "W")</f>
        <v>E</v>
      </c>
      <c r="I55" s="3">
        <f ca="1">SUMIF(OFFSET(INDIRECT("B"&amp;$F55), 4, 0):INDIRECT("B"&amp;$F56), "*"&amp;$I$2&amp;"*", OFFSET(INDIRECT("C"&amp;$F55), 4, 0):OFFSET(INDIRECT("C"&amp;$F56), -1, 0))</f>
        <v>601.6</v>
      </c>
      <c r="J55" s="3">
        <f ca="1">SUMIF(OFFSET(INDIRECT("B"&amp;$F55), 4, 0):INDIRECT("B"&amp;$F56), "*"&amp;$J$2&amp;"*", OFFSET(INDIRECT("C"&amp;$F55), 4, 0):OFFSET(INDIRECT("C"&amp;$F56), -1, 0))</f>
        <v>109.6</v>
      </c>
      <c r="K55" s="3">
        <f ca="1">SUMIF(OFFSET(INDIRECT("B"&amp;$F55), 4, 0):INDIRECT("B"&amp;$F56), "*"&amp;$K$2&amp;"*", OFFSET(INDIRECT("C"&amp;$F55), 4, 0):OFFSET(INDIRECT("C"&amp;$F56), -1, 0))</f>
        <v>109.6</v>
      </c>
      <c r="L55" s="3">
        <f ca="1">SUMIF(OFFSET(INDIRECT("B"&amp;$F55), 4, 0):INDIRECT("B"&amp;$F56), "*"&amp;$L$2&amp;"*", OFFSET(INDIRECT("C"&amp;$F55), 4, 0):OFFSET(INDIRECT("C"&amp;$F56), -1, 0))</f>
        <v>241.20000000000002</v>
      </c>
      <c r="M55" s="3">
        <f ca="1">SUMIF(OFFSET(INDIRECT("B"&amp;$F55), 4, 0):INDIRECT("B"&amp;$F56), "*"&amp;$M$2&amp;"*", OFFSET(INDIRECT("C"&amp;$F55), 4, 0):OFFSET(INDIRECT("C"&amp;$F56), -1, 0))</f>
        <v>394</v>
      </c>
      <c r="N55" s="3">
        <f ca="1">SUMIF(OFFSET(INDIRECT("B"&amp;$F55), 4, 0):INDIRECT("B"&amp;$F56), "*"&amp;$N$2&amp;"*", OFFSET(INDIRECT("C"&amp;$F55), 4, 0):OFFSET(INDIRECT("C"&amp;$F56), -1, 0))</f>
        <v>28.75</v>
      </c>
      <c r="O55" s="3">
        <f ca="1">SUMIF(OFFSET(INDIRECT("B"&amp;$F55), 4, 0):INDIRECT("B"&amp;$F56), "*"&amp;$O$2&amp;"*", OFFSET(INDIRECT("C"&amp;$F55), 4, 0):OFFSET(INDIRECT("C"&amp;$F56), -1, 0))</f>
        <v>0</v>
      </c>
      <c r="P55" s="3">
        <f ca="1">SUMIF(OFFSET(INDIRECT("B"&amp;$F55), 4, 0):INDIRECT("B"&amp;$F56), "*"&amp;$P$2&amp;"*", OFFSET(INDIRECT("C"&amp;$F55), 4, 0):OFFSET(INDIRECT("C"&amp;$F56), -1, 0))</f>
        <v>263.2</v>
      </c>
      <c r="Q55" s="3">
        <f t="shared" ca="1" si="1"/>
        <v>1747.95</v>
      </c>
      <c r="S55" s="1" t="s">
        <v>206</v>
      </c>
      <c r="T55" s="3">
        <f ca="1">SUMIF($H$3:$H$120, "W", $O$3:$O$120)</f>
        <v>179.2</v>
      </c>
      <c r="W55" s="1" t="s">
        <v>119</v>
      </c>
    </row>
    <row r="56" spans="1:23" x14ac:dyDescent="0.25">
      <c r="A56" s="1">
        <f t="shared" si="0"/>
        <v>0</v>
      </c>
      <c r="B56" s="1" t="s">
        <v>43</v>
      </c>
      <c r="C56" s="1">
        <v>57.5</v>
      </c>
      <c r="D56" s="1">
        <v>2</v>
      </c>
      <c r="F56" s="4" cm="1">
        <f t="array" aca="1" ref="F56" ca="1">INDEX(OFFSET(INDIRECT("A"&amp;F55), 1, 0):OFFSET(OFFSET(INDIRECT("A"&amp;F55), 1, 0), 100, 0),MATCH(TRUE,INDEX(OFFSET(INDIRECT("A"&amp;F55), 1, 0):OFFSET(OFFSET(INDIRECT("A"&amp;F55), 1, 0), 100, 0)&lt;&gt;0,),0))</f>
        <v>1445</v>
      </c>
      <c r="G56" s="1" t="str" cm="1">
        <f t="array" aca="1" ref="G56" ca="1">INDIRECT("B"&amp;$F56)</f>
        <v>SW</v>
      </c>
      <c r="H56" s="3" t="str" cm="1">
        <f t="array" aca="1" ref="H56" ca="1">_xlfn.IFS(COUNTIF($V$3:$V$18, G56)&lt;&gt;0, "S", COUNTIF($W$3:$W$99, G56)&lt;&gt;0, "E", COUNTIF($X$3, G56)&lt;&gt;0, "I", COUNTIF($Y$3:$Y$8, G56)&lt;&gt;0, "W")</f>
        <v>E</v>
      </c>
      <c r="I56" s="3">
        <f ca="1">SUMIF(OFFSET(INDIRECT("B"&amp;$F56), 4, 0):INDIRECT("B"&amp;$F57), "*"&amp;$I$2&amp;"*", OFFSET(INDIRECT("C"&amp;$F56), 4, 0):OFFSET(INDIRECT("C"&amp;$F57), -1, 0))</f>
        <v>606.40000000000009</v>
      </c>
      <c r="J56" s="3">
        <f ca="1">SUMIF(OFFSET(INDIRECT("B"&amp;$F56), 4, 0):INDIRECT("B"&amp;$F57), "*"&amp;$J$2&amp;"*", OFFSET(INDIRECT("C"&amp;$F56), 4, 0):OFFSET(INDIRECT("C"&amp;$F57), -1, 0))</f>
        <v>38.4</v>
      </c>
      <c r="K56" s="3">
        <f ca="1">SUMIF(OFFSET(INDIRECT("B"&amp;$F56), 4, 0):INDIRECT("B"&amp;$F57), "*"&amp;$K$2&amp;"*", OFFSET(INDIRECT("C"&amp;$F56), 4, 0):OFFSET(INDIRECT("C"&amp;$F57), -1, 0))</f>
        <v>76.8</v>
      </c>
      <c r="L56" s="3">
        <f ca="1">SUMIF(OFFSET(INDIRECT("B"&amp;$F56), 4, 0):INDIRECT("B"&amp;$F57), "*"&amp;$L$2&amp;"*", OFFSET(INDIRECT("C"&amp;$F56), 4, 0):OFFSET(INDIRECT("C"&amp;$F57), -1, 0))</f>
        <v>93.199999999999989</v>
      </c>
      <c r="M56" s="3">
        <f ca="1">SUMIF(OFFSET(INDIRECT("B"&amp;$F56), 4, 0):INDIRECT("B"&amp;$F57), "*"&amp;$M$2&amp;"*", OFFSET(INDIRECT("C"&amp;$F56), 4, 0):OFFSET(INDIRECT("C"&amp;$F57), -1, 0))</f>
        <v>0</v>
      </c>
      <c r="N56" s="3">
        <f ca="1">SUMIF(OFFSET(INDIRECT("B"&amp;$F56), 4, 0):INDIRECT("B"&amp;$F57), "*"&amp;$N$2&amp;"*", OFFSET(INDIRECT("C"&amp;$F56), 4, 0):OFFSET(INDIRECT("C"&amp;$F57), -1, 0))</f>
        <v>0</v>
      </c>
      <c r="O56" s="3">
        <f ca="1">SUMIF(OFFSET(INDIRECT("B"&amp;$F56), 4, 0):INDIRECT("B"&amp;$F57), "*"&amp;$O$2&amp;"*", OFFSET(INDIRECT("C"&amp;$F56), 4, 0):OFFSET(INDIRECT("C"&amp;$F57), -1, 0))</f>
        <v>0</v>
      </c>
      <c r="P56" s="3">
        <f ca="1">SUMIF(OFFSET(INDIRECT("B"&amp;$F56), 4, 0):INDIRECT("B"&amp;$F57), "*"&amp;$P$2&amp;"*", OFFSET(INDIRECT("C"&amp;$F56), 4, 0):OFFSET(INDIRECT("C"&amp;$F57), -1, 0))</f>
        <v>352.35</v>
      </c>
      <c r="Q56" s="3">
        <f t="shared" ca="1" si="1"/>
        <v>1167.1500000000001</v>
      </c>
      <c r="S56" s="1" t="s">
        <v>215</v>
      </c>
      <c r="T56" s="3">
        <f ca="1">SUM(T52:T55)</f>
        <v>4843.2000000000007</v>
      </c>
      <c r="W56" s="1" t="s">
        <v>85</v>
      </c>
    </row>
    <row r="57" spans="1:23" x14ac:dyDescent="0.25">
      <c r="A57" s="1">
        <f t="shared" si="0"/>
        <v>0</v>
      </c>
      <c r="B57" s="1" t="s">
        <v>10</v>
      </c>
      <c r="C57" s="1">
        <v>38.4</v>
      </c>
      <c r="D57" s="1">
        <v>1</v>
      </c>
      <c r="F57" s="4" cm="1">
        <f t="array" aca="1" ref="F57" ca="1">INDEX(OFFSET(INDIRECT("A"&amp;F56), 1, 0):OFFSET(OFFSET(INDIRECT("A"&amp;F56), 1, 0), 100, 0),MATCH(TRUE,INDEX(OFFSET(INDIRECT("A"&amp;F56), 1, 0):OFFSET(OFFSET(INDIRECT("A"&amp;F56), 1, 0), 100, 0)&lt;&gt;0,),0))</f>
        <v>1465</v>
      </c>
      <c r="G57" s="1" t="str" cm="1">
        <f t="array" aca="1" ref="G57" ca="1">INDIRECT("B"&amp;$F57)</f>
        <v>SL</v>
      </c>
      <c r="H57" s="3" t="str" cm="1">
        <f t="array" aca="1" ref="H57" ca="1">_xlfn.IFS(COUNTIF($V$3:$V$18, G57)&lt;&gt;0, "S", COUNTIF($W$3:$W$99, G57)&lt;&gt;0, "E", COUNTIF($X$3, G57)&lt;&gt;0, "I", COUNTIF($Y$3:$Y$8, G57)&lt;&gt;0, "W")</f>
        <v>E</v>
      </c>
      <c r="I57" s="3">
        <f ca="1">SUMIF(OFFSET(INDIRECT("B"&amp;$F57), 4, 0):INDIRECT("B"&amp;$F58), "*"&amp;$I$2&amp;"*", OFFSET(INDIRECT("C"&amp;$F57), 4, 0):OFFSET(INDIRECT("C"&amp;$F58), -1, 0))</f>
        <v>536.4</v>
      </c>
      <c r="J57" s="3">
        <f ca="1">SUMIF(OFFSET(INDIRECT("B"&amp;$F57), 4, 0):INDIRECT("B"&amp;$F58), "*"&amp;$J$2&amp;"*", OFFSET(INDIRECT("C"&amp;$F57), 4, 0):OFFSET(INDIRECT("C"&amp;$F58), -1, 0))</f>
        <v>0</v>
      </c>
      <c r="K57" s="3">
        <f ca="1">SUMIF(OFFSET(INDIRECT("B"&amp;$F57), 4, 0):INDIRECT("B"&amp;$F58), "*"&amp;$K$2&amp;"*", OFFSET(INDIRECT("C"&amp;$F57), 4, 0):OFFSET(INDIRECT("C"&amp;$F58), -1, 0))</f>
        <v>288.79999999999995</v>
      </c>
      <c r="L57" s="3">
        <f ca="1">SUMIF(OFFSET(INDIRECT("B"&amp;$F57), 4, 0):INDIRECT("B"&amp;$F58), "*"&amp;$L$2&amp;"*", OFFSET(INDIRECT("C"&amp;$F57), 4, 0):OFFSET(INDIRECT("C"&amp;$F58), -1, 0))</f>
        <v>0</v>
      </c>
      <c r="M57" s="3">
        <f ca="1">SUMIF(OFFSET(INDIRECT("B"&amp;$F57), 4, 0):INDIRECT("B"&amp;$F58), "*"&amp;$M$2&amp;"*", OFFSET(INDIRECT("C"&amp;$F57), 4, 0):OFFSET(INDIRECT("C"&amp;$F58), -1, 0))</f>
        <v>109.6</v>
      </c>
      <c r="N57" s="3">
        <f ca="1">SUMIF(OFFSET(INDIRECT("B"&amp;$F57), 4, 0):INDIRECT("B"&amp;$F58), "*"&amp;$N$2&amp;"*", OFFSET(INDIRECT("C"&amp;$F57), 4, 0):OFFSET(INDIRECT("C"&amp;$F58), -1, 0))</f>
        <v>0</v>
      </c>
      <c r="O57" s="3">
        <f ca="1">SUMIF(OFFSET(INDIRECT("B"&amp;$F57), 4, 0):INDIRECT("B"&amp;$F58), "*"&amp;$O$2&amp;"*", OFFSET(INDIRECT("C"&amp;$F57), 4, 0):OFFSET(INDIRECT("C"&amp;$F58), -1, 0))</f>
        <v>0</v>
      </c>
      <c r="P57" s="3">
        <f ca="1">SUMIF(OFFSET(INDIRECT("B"&amp;$F57), 4, 0):INDIRECT("B"&amp;$F58), "*"&amp;$P$2&amp;"*", OFFSET(INDIRECT("C"&amp;$F57), 4, 0):OFFSET(INDIRECT("C"&amp;$F58), -1, 0))</f>
        <v>95.9</v>
      </c>
      <c r="Q57" s="3">
        <f t="shared" ca="1" si="1"/>
        <v>1030.7</v>
      </c>
      <c r="W57" s="1" t="s">
        <v>140</v>
      </c>
    </row>
    <row r="58" spans="1:23" ht="15.75" x14ac:dyDescent="0.25">
      <c r="A58" s="1">
        <f t="shared" si="0"/>
        <v>0</v>
      </c>
      <c r="B58" s="1" t="s">
        <v>44</v>
      </c>
      <c r="C58" s="1">
        <v>38.4</v>
      </c>
      <c r="D58" s="1">
        <v>1</v>
      </c>
      <c r="F58" s="4" cm="1">
        <f t="array" aca="1" ref="F58" ca="1">INDEX(OFFSET(INDIRECT("A"&amp;F57), 1, 0):OFFSET(OFFSET(INDIRECT("A"&amp;F57), 1, 0), 100, 0),MATCH(TRUE,INDEX(OFFSET(INDIRECT("A"&amp;F57), 1, 0):OFFSET(OFFSET(INDIRECT("A"&amp;F57), 1, 0), 100, 0)&lt;&gt;0,),0))</f>
        <v>1482</v>
      </c>
      <c r="G58" s="1" t="str" cm="1">
        <f t="array" aca="1" ref="G58" ca="1">INDIRECT("B"&amp;$F58)</f>
        <v>GU</v>
      </c>
      <c r="H58" s="3" t="str" cm="1">
        <f t="array" aca="1" ref="H58" ca="1">_xlfn.IFS(COUNTIF($V$3:$V$18, G58)&lt;&gt;0, "S", COUNTIF($W$3:$W$99, G58)&lt;&gt;0, "E", COUNTIF($X$3, G58)&lt;&gt;0, "I", COUNTIF($Y$3:$Y$8, G58)&lt;&gt;0, "W")</f>
        <v>E</v>
      </c>
      <c r="I58" s="3">
        <f ca="1">SUMIF(OFFSET(INDIRECT("B"&amp;$F58), 4, 0):INDIRECT("B"&amp;$F59), "*"&amp;$I$2&amp;"*", OFFSET(INDIRECT("C"&amp;$F58), 4, 0):OFFSET(INDIRECT("C"&amp;$F59), -1, 0))</f>
        <v>596</v>
      </c>
      <c r="J58" s="3">
        <f ca="1">SUMIF(OFFSET(INDIRECT("B"&amp;$F58), 4, 0):INDIRECT("B"&amp;$F59), "*"&amp;$J$2&amp;"*", OFFSET(INDIRECT("C"&amp;$F58), 4, 0):OFFSET(INDIRECT("C"&amp;$F59), -1, 0))</f>
        <v>127.75999999999999</v>
      </c>
      <c r="K58" s="3">
        <f ca="1">SUMIF(OFFSET(INDIRECT("B"&amp;$F58), 4, 0):INDIRECT("B"&amp;$F59), "*"&amp;$K$2&amp;"*", OFFSET(INDIRECT("C"&amp;$F58), 4, 0):OFFSET(INDIRECT("C"&amp;$F59), -1, 0))</f>
        <v>0</v>
      </c>
      <c r="L58" s="3">
        <f ca="1">SUMIF(OFFSET(INDIRECT("B"&amp;$F58), 4, 0):INDIRECT("B"&amp;$F59), "*"&amp;$L$2&amp;"*", OFFSET(INDIRECT("C"&amp;$F58), 4, 0):OFFSET(INDIRECT("C"&amp;$F59), -1, 0))</f>
        <v>279.59999999999997</v>
      </c>
      <c r="M58" s="3">
        <f ca="1">SUMIF(OFFSET(INDIRECT("B"&amp;$F58), 4, 0):INDIRECT("B"&amp;$F59), "*"&amp;$M$2&amp;"*", OFFSET(INDIRECT("C"&amp;$F58), 4, 0):OFFSET(INDIRECT("C"&amp;$F59), -1, 0))</f>
        <v>93.199999999999989</v>
      </c>
      <c r="N58" s="3">
        <f ca="1">SUMIF(OFFSET(INDIRECT("B"&amp;$F58), 4, 0):INDIRECT("B"&amp;$F59), "*"&amp;$N$2&amp;"*", OFFSET(INDIRECT("C"&amp;$F58), 4, 0):OFFSET(INDIRECT("C"&amp;$F59), -1, 0))</f>
        <v>92.06</v>
      </c>
      <c r="O58" s="3">
        <f ca="1">SUMIF(OFFSET(INDIRECT("B"&amp;$F58), 4, 0):INDIRECT("B"&amp;$F59), "*"&amp;$O$2&amp;"*", OFFSET(INDIRECT("C"&amp;$F58), 4, 0):OFFSET(INDIRECT("C"&amp;$F59), -1, 0))</f>
        <v>38.4</v>
      </c>
      <c r="P58" s="3">
        <f ca="1">SUMIF(OFFSET(INDIRECT("B"&amp;$F58), 4, 0):INDIRECT("B"&amp;$F59), "*"&amp;$P$2&amp;"*", OFFSET(INDIRECT("C"&amp;$F58), 4, 0):OFFSET(INDIRECT("C"&amp;$F59), -1, 0))</f>
        <v>198.75</v>
      </c>
      <c r="Q58" s="3">
        <f t="shared" ca="1" si="1"/>
        <v>1425.77</v>
      </c>
      <c r="S58" s="7" t="str">
        <f>P2</f>
        <v>Traditional</v>
      </c>
      <c r="W58" s="1" t="s">
        <v>137</v>
      </c>
    </row>
    <row r="59" spans="1:23" x14ac:dyDescent="0.25">
      <c r="A59" s="1">
        <f t="shared" si="0"/>
        <v>0</v>
      </c>
      <c r="B59" s="1" t="s">
        <v>45</v>
      </c>
      <c r="C59" s="1">
        <v>28.75</v>
      </c>
      <c r="D59" s="1">
        <v>1</v>
      </c>
      <c r="F59" s="4" cm="1">
        <f t="array" aca="1" ref="F59" ca="1">INDEX(OFFSET(INDIRECT("A"&amp;F58), 1, 0):OFFSET(OFFSET(INDIRECT("A"&amp;F58), 1, 0), 100, 0),MATCH(TRUE,INDEX(OFFSET(INDIRECT("A"&amp;F58), 1, 0):OFFSET(OFFSET(INDIRECT("A"&amp;F58), 1, 0), 100, 0)&lt;&gt;0,),0))</f>
        <v>1508</v>
      </c>
      <c r="G59" s="1" t="str" cm="1">
        <f t="array" aca="1" ref="G59" ca="1">INDIRECT("B"&amp;$F59)</f>
        <v>BR</v>
      </c>
      <c r="H59" s="3" t="str" cm="1">
        <f t="array" aca="1" ref="H59" ca="1">_xlfn.IFS(COUNTIF($V$3:$V$18, G59)&lt;&gt;0, "S", COUNTIF($W$3:$W$99, G59)&lt;&gt;0, "E", COUNTIF($X$3, G59)&lt;&gt;0, "I", COUNTIF($Y$3:$Y$8, G59)&lt;&gt;0, "W")</f>
        <v>E</v>
      </c>
      <c r="I59" s="3">
        <f ca="1">SUMIF(OFFSET(INDIRECT("B"&amp;$F59), 4, 0):INDIRECT("B"&amp;$F60), "*"&amp;$I$2&amp;"*", OFFSET(INDIRECT("C"&amp;$F59), 4, 0):OFFSET(INDIRECT("C"&amp;$F60), -1, 0))</f>
        <v>260</v>
      </c>
      <c r="J59" s="3">
        <f ca="1">SUMIF(OFFSET(INDIRECT("B"&amp;$F59), 4, 0):INDIRECT("B"&amp;$F60), "*"&amp;$J$2&amp;"*", OFFSET(INDIRECT("C"&amp;$F59), 4, 0):OFFSET(INDIRECT("C"&amp;$F60), -1, 0))</f>
        <v>0</v>
      </c>
      <c r="K59" s="3">
        <f ca="1">SUMIF(OFFSET(INDIRECT("B"&amp;$F59), 4, 0):INDIRECT("B"&amp;$F60), "*"&amp;$K$2&amp;"*", OFFSET(INDIRECT("C"&amp;$F59), 4, 0):OFFSET(INDIRECT("C"&amp;$F60), -1, 0))</f>
        <v>0</v>
      </c>
      <c r="L59" s="3">
        <f ca="1">SUMIF(OFFSET(INDIRECT("B"&amp;$F59), 4, 0):INDIRECT("B"&amp;$F60), "*"&amp;$L$2&amp;"*", OFFSET(INDIRECT("C"&amp;$F59), 4, 0):OFFSET(INDIRECT("C"&amp;$F60), -1, 0))</f>
        <v>38.4</v>
      </c>
      <c r="M59" s="3">
        <f ca="1">SUMIF(OFFSET(INDIRECT("B"&amp;$F59), 4, 0):INDIRECT("B"&amp;$F60), "*"&amp;$M$2&amp;"*", OFFSET(INDIRECT("C"&amp;$F59), 4, 0):OFFSET(INDIRECT("C"&amp;$F60), -1, 0))</f>
        <v>0</v>
      </c>
      <c r="N59" s="3">
        <f ca="1">SUMIF(OFFSET(INDIRECT("B"&amp;$F59), 4, 0):INDIRECT("B"&amp;$F60), "*"&amp;$N$2&amp;"*", OFFSET(INDIRECT("C"&amp;$F59), 4, 0):OFFSET(INDIRECT("C"&amp;$F60), -1, 0))</f>
        <v>0</v>
      </c>
      <c r="O59" s="3">
        <f ca="1">SUMIF(OFFSET(INDIRECT("B"&amp;$F59), 4, 0):INDIRECT("B"&amp;$F60), "*"&amp;$O$2&amp;"*", OFFSET(INDIRECT("C"&amp;$F59), 4, 0):OFFSET(INDIRECT("C"&amp;$F60), -1, 0))</f>
        <v>38.4</v>
      </c>
      <c r="P59" s="3">
        <f ca="1">SUMIF(OFFSET(INDIRECT("B"&amp;$F59), 4, 0):INDIRECT("B"&amp;$F60), "*"&amp;$P$2&amp;"*", OFFSET(INDIRECT("C"&amp;$F59), 4, 0):OFFSET(INDIRECT("C"&amp;$F60), -1, 0))</f>
        <v>95.9</v>
      </c>
      <c r="Q59" s="3">
        <f t="shared" ca="1" si="1"/>
        <v>432.69999999999993</v>
      </c>
      <c r="S59" s="1" t="s">
        <v>217</v>
      </c>
      <c r="T59" s="1" t="s">
        <v>4</v>
      </c>
      <c r="W59" s="1" t="s">
        <v>90</v>
      </c>
    </row>
    <row r="60" spans="1:23" x14ac:dyDescent="0.25">
      <c r="A60" s="1">
        <f t="shared" si="0"/>
        <v>60</v>
      </c>
      <c r="B60" s="1" t="s">
        <v>46</v>
      </c>
      <c r="F60" s="4" cm="1">
        <f t="array" aca="1" ref="F60" ca="1">INDEX(OFFSET(INDIRECT("A"&amp;F59), 1, 0):OFFSET(OFFSET(INDIRECT("A"&amp;F59), 1, 0), 100, 0),MATCH(TRUE,INDEX(OFFSET(INDIRECT("A"&amp;F59), 1, 0):OFFSET(OFFSET(INDIRECT("A"&amp;F59), 1, 0), 100, 0)&lt;&gt;0,),0))</f>
        <v>1524</v>
      </c>
      <c r="G60" s="1" t="str" cm="1">
        <f t="array" aca="1" ref="G60" ca="1">INDIRECT("B"&amp;$F60)</f>
        <v>KT</v>
      </c>
      <c r="H60" s="3" t="str" cm="1">
        <f t="array" aca="1" ref="H60" ca="1">_xlfn.IFS(COUNTIF($V$3:$V$18, G60)&lt;&gt;0, "S", COUNTIF($W$3:$W$99, G60)&lt;&gt;0, "E", COUNTIF($X$3, G60)&lt;&gt;0, "I", COUNTIF($Y$3:$Y$8, G60)&lt;&gt;0, "W")</f>
        <v>E</v>
      </c>
      <c r="I60" s="3">
        <f ca="1">SUMIF(OFFSET(INDIRECT("B"&amp;$F60), 4, 0):INDIRECT("B"&amp;$F61), "*"&amp;$I$2&amp;"*", OFFSET(INDIRECT("C"&amp;$F60), 4, 0):OFFSET(INDIRECT("C"&amp;$F61), -1, 0))</f>
        <v>755.6</v>
      </c>
      <c r="J60" s="3">
        <f ca="1">SUMIF(OFFSET(INDIRECT("B"&amp;$F60), 4, 0):INDIRECT("B"&amp;$F61), "*"&amp;$J$2&amp;"*", OFFSET(INDIRECT("C"&amp;$F60), 4, 0):OFFSET(INDIRECT("C"&amp;$F61), -1, 0))</f>
        <v>0</v>
      </c>
      <c r="K60" s="3">
        <f ca="1">SUMIF(OFFSET(INDIRECT("B"&amp;$F60), 4, 0):INDIRECT("B"&amp;$F61), "*"&amp;$K$2&amp;"*", OFFSET(INDIRECT("C"&amp;$F60), 4, 0):OFFSET(INDIRECT("C"&amp;$F61), -1, 0))</f>
        <v>0</v>
      </c>
      <c r="L60" s="3">
        <f ca="1">SUMIF(OFFSET(INDIRECT("B"&amp;$F60), 4, 0):INDIRECT("B"&amp;$F61), "*"&amp;$L$2&amp;"*", OFFSET(INDIRECT("C"&amp;$F60), 4, 0):OFFSET(INDIRECT("C"&amp;$F61), -1, 0))</f>
        <v>131.6</v>
      </c>
      <c r="M60" s="3">
        <f ca="1">SUMIF(OFFSET(INDIRECT("B"&amp;$F60), 4, 0):INDIRECT("B"&amp;$F61), "*"&amp;$M$2&amp;"*", OFFSET(INDIRECT("C"&amp;$F60), 4, 0):OFFSET(INDIRECT("C"&amp;$F61), -1, 0))</f>
        <v>54.8</v>
      </c>
      <c r="N60" s="3">
        <f ca="1">SUMIF(OFFSET(INDIRECT("B"&amp;$F60), 4, 0):INDIRECT("B"&amp;$F61), "*"&amp;$N$2&amp;"*", OFFSET(INDIRECT("C"&amp;$F60), 4, 0):OFFSET(INDIRECT("C"&amp;$F61), -1, 0))</f>
        <v>28.75</v>
      </c>
      <c r="O60" s="3">
        <f ca="1">SUMIF(OFFSET(INDIRECT("B"&amp;$F60), 4, 0):INDIRECT("B"&amp;$F61), "*"&amp;$O$2&amp;"*", OFFSET(INDIRECT("C"&amp;$F60), 4, 0):OFFSET(INDIRECT("C"&amp;$F61), -1, 0))</f>
        <v>38.4</v>
      </c>
      <c r="P60" s="3">
        <f ca="1">SUMIF(OFFSET(INDIRECT("B"&amp;$F60), 4, 0):INDIRECT("B"&amp;$F61), "*"&amp;$P$2&amp;"*", OFFSET(INDIRECT("C"&amp;$F60), 4, 0):OFFSET(INDIRECT("C"&amp;$F61), -1, 0))</f>
        <v>148</v>
      </c>
      <c r="Q60" s="3">
        <f t="shared" ca="1" si="1"/>
        <v>1157.1500000000001</v>
      </c>
      <c r="S60" s="1" t="s">
        <v>197</v>
      </c>
      <c r="T60" s="3">
        <f ca="1">SUMIF($H$3:$H$120, "E", $P$3:$P$120)</f>
        <v>21320.300000000003</v>
      </c>
      <c r="W60" s="1" t="s">
        <v>128</v>
      </c>
    </row>
    <row r="61" spans="1:23" x14ac:dyDescent="0.25">
      <c r="A61" s="1">
        <f t="shared" si="0"/>
        <v>0</v>
      </c>
      <c r="B61" s="1" t="s">
        <v>1</v>
      </c>
      <c r="C61" s="1">
        <v>12</v>
      </c>
      <c r="F61" s="4" cm="1">
        <f t="array" aca="1" ref="F61" ca="1">INDEX(OFFSET(INDIRECT("A"&amp;F60), 1, 0):OFFSET(OFFSET(INDIRECT("A"&amp;F60), 1, 0), 100, 0),MATCH(TRUE,INDEX(OFFSET(INDIRECT("A"&amp;F60), 1, 0):OFFSET(OFFSET(INDIRECT("A"&amp;F60), 1, 0), 100, 0)&lt;&gt;0,),0))</f>
        <v>1542</v>
      </c>
      <c r="G61" s="1" t="str" cm="1">
        <f t="array" aca="1" ref="G61" ca="1">INDIRECT("B"&amp;$F61)</f>
        <v>OL</v>
      </c>
      <c r="H61" s="3" t="str" cm="1">
        <f t="array" aca="1" ref="H61" ca="1">_xlfn.IFS(COUNTIF($V$3:$V$18, G61)&lt;&gt;0, "S", COUNTIF($W$3:$W$99, G61)&lt;&gt;0, "E", COUNTIF($X$3, G61)&lt;&gt;0, "I", COUNTIF($Y$3:$Y$8, G61)&lt;&gt;0, "W")</f>
        <v>E</v>
      </c>
      <c r="I61" s="3">
        <f ca="1">SUMIF(OFFSET(INDIRECT("B"&amp;$F61), 4, 0):INDIRECT("B"&amp;$F62), "*"&amp;$I$2&amp;"*", OFFSET(INDIRECT("C"&amp;$F61), 4, 0):OFFSET(INDIRECT("C"&amp;$F62), -1, 0))</f>
        <v>116.8</v>
      </c>
      <c r="J61" s="3">
        <f ca="1">SUMIF(OFFSET(INDIRECT("B"&amp;$F61), 4, 0):INDIRECT("B"&amp;$F62), "*"&amp;$J$2&amp;"*", OFFSET(INDIRECT("C"&amp;$F61), 4, 0):OFFSET(INDIRECT("C"&amp;$F62), -1, 0))</f>
        <v>115.2</v>
      </c>
      <c r="K61" s="3">
        <f ca="1">SUMIF(OFFSET(INDIRECT("B"&amp;$F61), 4, 0):INDIRECT("B"&amp;$F62), "*"&amp;$K$2&amp;"*", OFFSET(INDIRECT("C"&amp;$F61), 4, 0):OFFSET(INDIRECT("C"&amp;$F62), -1, 0))</f>
        <v>40</v>
      </c>
      <c r="L61" s="3">
        <f ca="1">SUMIF(OFFSET(INDIRECT("B"&amp;$F61), 4, 0):INDIRECT("B"&amp;$F62), "*"&amp;$L$2&amp;"*", OFFSET(INDIRECT("C"&amp;$F61), 4, 0):OFFSET(INDIRECT("C"&amp;$F62), -1, 0))</f>
        <v>38.4</v>
      </c>
      <c r="M61" s="3">
        <f ca="1">SUMIF(OFFSET(INDIRECT("B"&amp;$F61), 4, 0):INDIRECT("B"&amp;$F62), "*"&amp;$M$2&amp;"*", OFFSET(INDIRECT("C"&amp;$F61), 4, 0):OFFSET(INDIRECT("C"&amp;$F62), -1, 0))</f>
        <v>0</v>
      </c>
      <c r="N61" s="3">
        <f ca="1">SUMIF(OFFSET(INDIRECT("B"&amp;$F61), 4, 0):INDIRECT("B"&amp;$F62), "*"&amp;$N$2&amp;"*", OFFSET(INDIRECT("C"&amp;$F61), 4, 0):OFFSET(INDIRECT("C"&amp;$F62), -1, 0))</f>
        <v>57.5</v>
      </c>
      <c r="O61" s="3">
        <f ca="1">SUMIF(OFFSET(INDIRECT("B"&amp;$F61), 4, 0):INDIRECT("B"&amp;$F62), "*"&amp;$O$2&amp;"*", OFFSET(INDIRECT("C"&amp;$F61), 4, 0):OFFSET(INDIRECT("C"&amp;$F62), -1, 0))</f>
        <v>0</v>
      </c>
      <c r="P61" s="3">
        <f ca="1">SUMIF(OFFSET(INDIRECT("B"&amp;$F61), 4, 0):INDIRECT("B"&amp;$F62), "*"&amp;$P$2&amp;"*", OFFSET(INDIRECT("C"&amp;$F61), 4, 0):OFFSET(INDIRECT("C"&amp;$F62), -1, 0))</f>
        <v>57.5</v>
      </c>
      <c r="Q61" s="3">
        <f t="shared" ca="1" si="1"/>
        <v>425.4</v>
      </c>
      <c r="S61" s="1" t="s">
        <v>198</v>
      </c>
      <c r="T61" s="3">
        <f ca="1">SUMIF($H$3:$H$120, "S", $P$3:$P$120)</f>
        <v>26788.44</v>
      </c>
      <c r="W61" s="1" t="s">
        <v>58</v>
      </c>
    </row>
    <row r="62" spans="1:23" x14ac:dyDescent="0.25">
      <c r="A62" s="1">
        <f t="shared" si="0"/>
        <v>0</v>
      </c>
      <c r="B62" s="1" t="s">
        <v>2</v>
      </c>
      <c r="C62" s="1">
        <v>601.4</v>
      </c>
      <c r="F62" s="4" cm="1">
        <f t="array" aca="1" ref="F62" ca="1">INDEX(OFFSET(INDIRECT("A"&amp;F61), 1, 0):OFFSET(OFFSET(INDIRECT("A"&amp;F61), 1, 0), 100, 0),MATCH(TRUE,INDEX(OFFSET(INDIRECT("A"&amp;F61), 1, 0):OFFSET(OFFSET(INDIRECT("A"&amp;F61), 1, 0), 100, 0)&lt;&gt;0,),0))</f>
        <v>1561</v>
      </c>
      <c r="G62" s="1" t="str" cm="1">
        <f t="array" aca="1" ref="G62" ca="1">INDIRECT("B"&amp;$F62)</f>
        <v>CH</v>
      </c>
      <c r="H62" s="3" t="str" cm="1">
        <f t="array" aca="1" ref="H62" ca="1">_xlfn.IFS(COUNTIF($V$3:$V$18, G62)&lt;&gt;0, "S", COUNTIF($W$3:$W$99, G62)&lt;&gt;0, "E", COUNTIF($X$3, G62)&lt;&gt;0, "I", COUNTIF($Y$3:$Y$8, G62)&lt;&gt;0, "W")</f>
        <v>E</v>
      </c>
      <c r="I62" s="3">
        <f ca="1">SUMIF(OFFSET(INDIRECT("B"&amp;$F62), 4, 0):INDIRECT("B"&amp;$F63), "*"&amp;$I$2&amp;"*", OFFSET(INDIRECT("C"&amp;$F62), 4, 0):OFFSET(INDIRECT("C"&amp;$F63), -1, 0))</f>
        <v>668.40000000000009</v>
      </c>
      <c r="J62" s="3">
        <f ca="1">SUMIF(OFFSET(INDIRECT("B"&amp;$F62), 4, 0):INDIRECT("B"&amp;$F63), "*"&amp;$J$2&amp;"*", OFFSET(INDIRECT("C"&amp;$F62), 4, 0):OFFSET(INDIRECT("C"&amp;$F63), -1, 0))</f>
        <v>54.8</v>
      </c>
      <c r="K62" s="3">
        <f ca="1">SUMIF(OFFSET(INDIRECT("B"&amp;$F62), 4, 0):INDIRECT("B"&amp;$F63), "*"&amp;$K$2&amp;"*", OFFSET(INDIRECT("C"&amp;$F62), 4, 0):OFFSET(INDIRECT("C"&amp;$F63), -1, 0))</f>
        <v>38.4</v>
      </c>
      <c r="L62" s="3">
        <f ca="1">SUMIF(OFFSET(INDIRECT("B"&amp;$F62), 4, 0):INDIRECT("B"&amp;$F63), "*"&amp;$L$2&amp;"*", OFFSET(INDIRECT("C"&amp;$F62), 4, 0):OFFSET(INDIRECT("C"&amp;$F63), -1, 0))</f>
        <v>15.99</v>
      </c>
      <c r="M62" s="3">
        <f ca="1">SUMIF(OFFSET(INDIRECT("B"&amp;$F62), 4, 0):INDIRECT("B"&amp;$F63), "*"&amp;$M$2&amp;"*", OFFSET(INDIRECT("C"&amp;$F62), 4, 0):OFFSET(INDIRECT("C"&amp;$F63), -1, 0))</f>
        <v>102.4</v>
      </c>
      <c r="N62" s="3">
        <f ca="1">SUMIF(OFFSET(INDIRECT("B"&amp;$F62), 4, 0):INDIRECT("B"&amp;$F63), "*"&amp;$N$2&amp;"*", OFFSET(INDIRECT("C"&amp;$F62), 4, 0):OFFSET(INDIRECT("C"&amp;$F63), -1, 0))</f>
        <v>57.5</v>
      </c>
      <c r="O62" s="3">
        <f ca="1">SUMIF(OFFSET(INDIRECT("B"&amp;$F62), 4, 0):INDIRECT("B"&amp;$F63), "*"&amp;$O$2&amp;"*", OFFSET(INDIRECT("C"&amp;$F62), 4, 0):OFFSET(INDIRECT("C"&amp;$F63), -1, 0))</f>
        <v>0</v>
      </c>
      <c r="P62" s="3">
        <f ca="1">SUMIF(OFFSET(INDIRECT("B"&amp;$F62), 4, 0):INDIRECT("B"&amp;$F63), "*"&amp;$P$2&amp;"*", OFFSET(INDIRECT("C"&amp;$F62), 4, 0):OFFSET(INDIRECT("C"&amp;$F63), -1, 0))</f>
        <v>174.3</v>
      </c>
      <c r="Q62" s="3">
        <f t="shared" ca="1" si="1"/>
        <v>1111.79</v>
      </c>
      <c r="S62" s="1" t="s">
        <v>205</v>
      </c>
      <c r="T62" s="3">
        <f ca="1">SUMIF($H$3:$H$120, "I", $P$3:$P$120)</f>
        <v>421.09999999999997</v>
      </c>
      <c r="W62" s="1" t="s">
        <v>0</v>
      </c>
    </row>
    <row r="63" spans="1:23" x14ac:dyDescent="0.25">
      <c r="A63" s="1">
        <f t="shared" si="0"/>
        <v>0</v>
      </c>
      <c r="B63" s="1" t="s">
        <v>3</v>
      </c>
      <c r="C63" s="1" t="s">
        <v>4</v>
      </c>
      <c r="D63" s="1" t="s">
        <v>5</v>
      </c>
      <c r="F63" s="4" cm="1">
        <f t="array" aca="1" ref="F63" ca="1">INDEX(OFFSET(INDIRECT("A"&amp;F62), 1, 0):OFFSET(OFFSET(INDIRECT("A"&amp;F62), 1, 0), 100, 0),MATCH(TRUE,INDEX(OFFSET(INDIRECT("A"&amp;F62), 1, 0):OFFSET(OFFSET(INDIRECT("A"&amp;F62), 1, 0), 100, 0)&lt;&gt;0,),0))</f>
        <v>1585</v>
      </c>
      <c r="G63" s="1" t="str" cm="1">
        <f t="array" aca="1" ref="G63" ca="1">INDIRECT("B"&amp;$F63)</f>
        <v>DE</v>
      </c>
      <c r="H63" s="3" t="str" cm="1">
        <f t="array" aca="1" ref="H63" ca="1">_xlfn.IFS(COUNTIF($V$3:$V$18, G63)&lt;&gt;0, "S", COUNTIF($W$3:$W$99, G63)&lt;&gt;0, "E", COUNTIF($X$3, G63)&lt;&gt;0, "I", COUNTIF($Y$3:$Y$8, G63)&lt;&gt;0, "W")</f>
        <v>E</v>
      </c>
      <c r="I63" s="3">
        <f ca="1">SUMIF(OFFSET(INDIRECT("B"&amp;$F63), 4, 0):INDIRECT("B"&amp;$F64), "*"&amp;$I$2&amp;"*", OFFSET(INDIRECT("C"&amp;$F63), 4, 0):OFFSET(INDIRECT("C"&amp;$F64), -1, 0))</f>
        <v>1836.0000000000005</v>
      </c>
      <c r="J63" s="3">
        <f ca="1">SUMIF(OFFSET(INDIRECT("B"&amp;$F63), 4, 0):INDIRECT("B"&amp;$F64), "*"&amp;$J$2&amp;"*", OFFSET(INDIRECT("C"&amp;$F63), 4, 0):OFFSET(INDIRECT("C"&amp;$F64), -1, 0))</f>
        <v>54.8</v>
      </c>
      <c r="K63" s="3">
        <f ca="1">SUMIF(OFFSET(INDIRECT("B"&amp;$F63), 4, 0):INDIRECT("B"&amp;$F64), "*"&amp;$K$2&amp;"*", OFFSET(INDIRECT("C"&amp;$F63), 4, 0):OFFSET(INDIRECT("C"&amp;$F64), -1, 0))</f>
        <v>38.4</v>
      </c>
      <c r="L63" s="3">
        <f ca="1">SUMIF(OFFSET(INDIRECT("B"&amp;$F63), 4, 0):INDIRECT("B"&amp;$F64), "*"&amp;$L$2&amp;"*", OFFSET(INDIRECT("C"&amp;$F63), 4, 0):OFFSET(INDIRECT("C"&amp;$F64), -1, 0))</f>
        <v>189.58999999999997</v>
      </c>
      <c r="M63" s="3">
        <f ca="1">SUMIF(OFFSET(INDIRECT("B"&amp;$F63), 4, 0):INDIRECT("B"&amp;$F64), "*"&amp;$M$2&amp;"*", OFFSET(INDIRECT("C"&amp;$F63), 4, 0):OFFSET(INDIRECT("C"&amp;$F64), -1, 0))</f>
        <v>170</v>
      </c>
      <c r="N63" s="3">
        <f ca="1">SUMIF(OFFSET(INDIRECT("B"&amp;$F63), 4, 0):INDIRECT("B"&amp;$F64), "*"&amp;$N$2&amp;"*", OFFSET(INDIRECT("C"&amp;$F63), 4, 0):OFFSET(INDIRECT("C"&amp;$F64), -1, 0))</f>
        <v>38.4</v>
      </c>
      <c r="O63" s="3">
        <f ca="1">SUMIF(OFFSET(INDIRECT("B"&amp;$F63), 4, 0):INDIRECT("B"&amp;$F64), "*"&amp;$O$2&amp;"*", OFFSET(INDIRECT("C"&amp;$F63), 4, 0):OFFSET(INDIRECT("C"&amp;$F64), -1, 0))</f>
        <v>38.4</v>
      </c>
      <c r="P63" s="3">
        <f ca="1">SUMIF(OFFSET(INDIRECT("B"&amp;$F63), 4, 0):INDIRECT("B"&amp;$F64), "*"&amp;$P$2&amp;"*", OFFSET(INDIRECT("C"&amp;$F63), 4, 0):OFFSET(INDIRECT("C"&amp;$F64), -1, 0))</f>
        <v>393.45000000000005</v>
      </c>
      <c r="Q63" s="3">
        <f t="shared" ca="1" si="1"/>
        <v>2759.0400000000009</v>
      </c>
      <c r="S63" s="1" t="s">
        <v>206</v>
      </c>
      <c r="T63" s="3">
        <f ca="1">SUMIF($H$3:$H$120, "W", $P$3:$P$120)</f>
        <v>1719.05</v>
      </c>
      <c r="W63" s="1" t="s">
        <v>177</v>
      </c>
    </row>
    <row r="64" spans="1:23" x14ac:dyDescent="0.25">
      <c r="A64" s="1">
        <f t="shared" si="0"/>
        <v>0</v>
      </c>
      <c r="B64" s="1" t="s">
        <v>47</v>
      </c>
      <c r="C64" s="1">
        <v>192</v>
      </c>
      <c r="D64" s="1">
        <v>3</v>
      </c>
      <c r="F64" s="4" cm="1">
        <f t="array" aca="1" ref="F64" ca="1">INDEX(OFFSET(INDIRECT("A"&amp;F63), 1, 0):OFFSET(OFFSET(INDIRECT("A"&amp;F63), 1, 0), 100, 0),MATCH(TRUE,INDEX(OFFSET(INDIRECT("A"&amp;F63), 1, 0):OFFSET(OFFSET(INDIRECT("A"&amp;F63), 1, 0), 100, 0)&lt;&gt;0,),0))</f>
        <v>1631</v>
      </c>
      <c r="G64" s="1" t="str" cm="1">
        <f t="array" aca="1" ref="G64" ca="1">INDIRECT("B"&amp;$F64)</f>
        <v>ME</v>
      </c>
      <c r="H64" s="3" t="str" cm="1">
        <f t="array" aca="1" ref="H64" ca="1">_xlfn.IFS(COUNTIF($V$3:$V$18, G64)&lt;&gt;0, "S", COUNTIF($W$3:$W$99, G64)&lt;&gt;0, "E", COUNTIF($X$3, G64)&lt;&gt;0, "I", COUNTIF($Y$3:$Y$8, G64)&lt;&gt;0, "W")</f>
        <v>E</v>
      </c>
      <c r="I64" s="3">
        <f ca="1">SUMIF(OFFSET(INDIRECT("B"&amp;$F64), 4, 0):INDIRECT("B"&amp;$F65), "*"&amp;$I$2&amp;"*", OFFSET(INDIRECT("C"&amp;$F64), 4, 0):OFFSET(INDIRECT("C"&amp;$F65), -1, 0))</f>
        <v>693.2</v>
      </c>
      <c r="J64" s="3">
        <f ca="1">SUMIF(OFFSET(INDIRECT("B"&amp;$F64), 4, 0):INDIRECT("B"&amp;$F65), "*"&amp;$J$2&amp;"*", OFFSET(INDIRECT("C"&amp;$F64), 4, 0):OFFSET(INDIRECT("C"&amp;$F65), -1, 0))</f>
        <v>0</v>
      </c>
      <c r="K64" s="3">
        <f ca="1">SUMIF(OFFSET(INDIRECT("B"&amp;$F64), 4, 0):INDIRECT("B"&amp;$F65), "*"&amp;$K$2&amp;"*", OFFSET(INDIRECT("C"&amp;$F64), 4, 0):OFFSET(INDIRECT("C"&amp;$F65), -1, 0))</f>
        <v>0</v>
      </c>
      <c r="L64" s="3">
        <f ca="1">SUMIF(OFFSET(INDIRECT("B"&amp;$F64), 4, 0):INDIRECT("B"&amp;$F65), "*"&amp;$L$2&amp;"*", OFFSET(INDIRECT("C"&amp;$F64), 4, 0):OFFSET(INDIRECT("C"&amp;$F65), -1, 0))</f>
        <v>80.900000000000006</v>
      </c>
      <c r="M64" s="3">
        <f ca="1">SUMIF(OFFSET(INDIRECT("B"&amp;$F64), 4, 0):INDIRECT("B"&amp;$F65), "*"&amp;$M$2&amp;"*", OFFSET(INDIRECT("C"&amp;$F64), 4, 0):OFFSET(INDIRECT("C"&amp;$F65), -1, 0))</f>
        <v>0</v>
      </c>
      <c r="N64" s="3">
        <f ca="1">SUMIF(OFFSET(INDIRECT("B"&amp;$F64), 4, 0):INDIRECT("B"&amp;$F65), "*"&amp;$N$2&amp;"*", OFFSET(INDIRECT("C"&amp;$F64), 4, 0):OFFSET(INDIRECT("C"&amp;$F65), -1, 0))</f>
        <v>28.75</v>
      </c>
      <c r="O64" s="3">
        <f ca="1">SUMIF(OFFSET(INDIRECT("B"&amp;$F64), 4, 0):INDIRECT("B"&amp;$F65), "*"&amp;$O$2&amp;"*", OFFSET(INDIRECT("C"&amp;$F64), 4, 0):OFFSET(INDIRECT("C"&amp;$F65), -1, 0))</f>
        <v>0</v>
      </c>
      <c r="P64" s="3">
        <f ca="1">SUMIF(OFFSET(INDIRECT("B"&amp;$F64), 4, 0):INDIRECT("B"&amp;$F65), "*"&amp;$P$2&amp;"*", OFFSET(INDIRECT("C"&amp;$F64), 4, 0):OFFSET(INDIRECT("C"&amp;$F65), -1, 0))</f>
        <v>202.8</v>
      </c>
      <c r="Q64" s="3">
        <f t="shared" ca="1" si="1"/>
        <v>1005.6500000000001</v>
      </c>
      <c r="S64" s="1" t="s">
        <v>215</v>
      </c>
      <c r="T64" s="3">
        <f ca="1">SUM(T60:T63)</f>
        <v>50248.890000000007</v>
      </c>
      <c r="W64" s="1" t="s">
        <v>182</v>
      </c>
    </row>
    <row r="65" spans="1:23" x14ac:dyDescent="0.25">
      <c r="A65" s="1">
        <f t="shared" si="0"/>
        <v>0</v>
      </c>
      <c r="B65" s="1" t="s">
        <v>42</v>
      </c>
      <c r="C65" s="1">
        <v>40</v>
      </c>
      <c r="D65" s="1">
        <v>1</v>
      </c>
      <c r="F65" s="4" cm="1">
        <f t="array" aca="1" ref="F65" ca="1">INDEX(OFFSET(INDIRECT("A"&amp;F64), 1, 0):OFFSET(OFFSET(INDIRECT("A"&amp;F64), 1, 0), 100, 0),MATCH(TRUE,INDEX(OFFSET(INDIRECT("A"&amp;F64), 1, 0):OFFSET(OFFSET(INDIRECT("A"&amp;F64), 1, 0), 100, 0)&lt;&gt;0,),0))</f>
        <v>1649</v>
      </c>
      <c r="G65" s="1" t="str" cm="1">
        <f t="array" aca="1" ref="G65" ca="1">INDIRECT("B"&amp;$F65)</f>
        <v>SO</v>
      </c>
      <c r="H65" s="3" t="str" cm="1">
        <f t="array" aca="1" ref="H65" ca="1">_xlfn.IFS(COUNTIF($V$3:$V$18, G65)&lt;&gt;0, "S", COUNTIF($W$3:$W$99, G65)&lt;&gt;0, "E", COUNTIF($X$3, G65)&lt;&gt;0, "I", COUNTIF($Y$3:$Y$8, G65)&lt;&gt;0, "W")</f>
        <v>E</v>
      </c>
      <c r="I65" s="3">
        <f ca="1">SUMIF(OFFSET(INDIRECT("B"&amp;$F65), 4, 0):INDIRECT("B"&amp;$F66), "*"&amp;$I$2&amp;"*", OFFSET(INDIRECT("C"&amp;$F65), 4, 0):OFFSET(INDIRECT("C"&amp;$F66), -1, 0))</f>
        <v>1408.3000000000002</v>
      </c>
      <c r="J65" s="3">
        <f ca="1">SUMIF(OFFSET(INDIRECT("B"&amp;$F65), 4, 0):INDIRECT("B"&amp;$F66), "*"&amp;$J$2&amp;"*", OFFSET(INDIRECT("C"&amp;$F65), 4, 0):OFFSET(INDIRECT("C"&amp;$F66), -1, 0))</f>
        <v>34.56</v>
      </c>
      <c r="K65" s="3">
        <f ca="1">SUMIF(OFFSET(INDIRECT("B"&amp;$F65), 4, 0):INDIRECT("B"&amp;$F66), "*"&amp;$K$2&amp;"*", OFFSET(INDIRECT("C"&amp;$F65), 4, 0):OFFSET(INDIRECT("C"&amp;$F66), -1, 0))</f>
        <v>38.4</v>
      </c>
      <c r="L65" s="3">
        <f ca="1">SUMIF(OFFSET(INDIRECT("B"&amp;$F65), 4, 0):INDIRECT("B"&amp;$F66), "*"&amp;$L$2&amp;"*", OFFSET(INDIRECT("C"&amp;$F65), 4, 0):OFFSET(INDIRECT("C"&amp;$F66), -1, 0))</f>
        <v>308.29999999999995</v>
      </c>
      <c r="M65" s="3">
        <f ca="1">SUMIF(OFFSET(INDIRECT("B"&amp;$F65), 4, 0):INDIRECT("B"&amp;$F66), "*"&amp;$M$2&amp;"*", OFFSET(INDIRECT("C"&amp;$F65), 4, 0):OFFSET(INDIRECT("C"&amp;$F66), -1, 0))</f>
        <v>283.2</v>
      </c>
      <c r="N65" s="3">
        <f ca="1">SUMIF(OFFSET(INDIRECT("B"&amp;$F65), 4, 0):INDIRECT("B"&amp;$F66), "*"&amp;$N$2&amp;"*", OFFSET(INDIRECT("C"&amp;$F65), 4, 0):OFFSET(INDIRECT("C"&amp;$F66), -1, 0))</f>
        <v>72.960000000000008</v>
      </c>
      <c r="O65" s="3">
        <f ca="1">SUMIF(OFFSET(INDIRECT("B"&amp;$F65), 4, 0):INDIRECT("B"&amp;$F66), "*"&amp;$O$2&amp;"*", OFFSET(INDIRECT("C"&amp;$F65), 4, 0):OFFSET(INDIRECT("C"&amp;$F66), -1, 0))</f>
        <v>0</v>
      </c>
      <c r="P65" s="3">
        <f ca="1">SUMIF(OFFSET(INDIRECT("B"&amp;$F65), 4, 0):INDIRECT("B"&amp;$F66), "*"&amp;$P$2&amp;"*", OFFSET(INDIRECT("C"&amp;$F65), 4, 0):OFFSET(INDIRECT("C"&amp;$F66), -1, 0))</f>
        <v>494.75</v>
      </c>
      <c r="Q65" s="3">
        <f t="shared" ca="1" si="1"/>
        <v>2640.4700000000003</v>
      </c>
      <c r="W65" s="1" t="s">
        <v>111</v>
      </c>
    </row>
    <row r="66" spans="1:23" x14ac:dyDescent="0.25">
      <c r="A66" s="1">
        <f t="shared" ref="A66:A129" si="2">IF(COUNTIF($V$3:$Y$99, $B66)&lt;&gt;0, ROW($B66), 0)</f>
        <v>0</v>
      </c>
      <c r="B66" s="1" t="s">
        <v>20</v>
      </c>
      <c r="C66" s="1">
        <v>38.4</v>
      </c>
      <c r="D66" s="1">
        <v>1</v>
      </c>
      <c r="F66" s="4" cm="1">
        <f t="array" aca="1" ref="F66" ca="1">INDEX(OFFSET(INDIRECT("A"&amp;F65), 1, 0):OFFSET(OFFSET(INDIRECT("A"&amp;F65), 1, 0), 100, 0),MATCH(TRUE,INDEX(OFFSET(INDIRECT("A"&amp;F65), 1, 0):OFFSET(OFFSET(INDIRECT("A"&amp;F65), 1, 0), 100, 0)&lt;&gt;0,),0))</f>
        <v>1674</v>
      </c>
      <c r="G66" s="1" t="str" cm="1">
        <f t="array" aca="1" ref="G66" ca="1">INDIRECT("B"&amp;$F66)</f>
        <v>ST</v>
      </c>
      <c r="H66" s="3" t="str" cm="1">
        <f t="array" aca="1" ref="H66" ca="1">_xlfn.IFS(COUNTIF($V$3:$V$18, G66)&lt;&gt;0, "S", COUNTIF($W$3:$W$99, G66)&lt;&gt;0, "E", COUNTIF($X$3, G66)&lt;&gt;0, "I", COUNTIF($Y$3:$Y$8, G66)&lt;&gt;0, "W")</f>
        <v>E</v>
      </c>
      <c r="I66" s="3">
        <f ca="1">SUMIF(OFFSET(INDIRECT("B"&amp;$F66), 4, 0):INDIRECT("B"&amp;$F67), "*"&amp;$I$2&amp;"*", OFFSET(INDIRECT("C"&amp;$F66), 4, 0):OFFSET(INDIRECT("C"&amp;$F67), -1, 0))</f>
        <v>1355.2</v>
      </c>
      <c r="J66" s="3">
        <f ca="1">SUMIF(OFFSET(INDIRECT("B"&amp;$F66), 4, 0):INDIRECT("B"&amp;$F67), "*"&amp;$J$2&amp;"*", OFFSET(INDIRECT("C"&amp;$F66), 4, 0):OFFSET(INDIRECT("C"&amp;$F67), -1, 0))</f>
        <v>0</v>
      </c>
      <c r="K66" s="3">
        <f ca="1">SUMIF(OFFSET(INDIRECT("B"&amp;$F66), 4, 0):INDIRECT("B"&amp;$F67), "*"&amp;$K$2&amp;"*", OFFSET(INDIRECT("C"&amp;$F66), 4, 0):OFFSET(INDIRECT("C"&amp;$F67), -1, 0))</f>
        <v>38.4</v>
      </c>
      <c r="L66" s="3">
        <f ca="1">SUMIF(OFFSET(INDIRECT("B"&amp;$F66), 4, 0):INDIRECT("B"&amp;$F67), "*"&amp;$L$2&amp;"*", OFFSET(INDIRECT("C"&amp;$F66), 4, 0):OFFSET(INDIRECT("C"&amp;$F67), -1, 0))</f>
        <v>0</v>
      </c>
      <c r="M66" s="3">
        <f ca="1">SUMIF(OFFSET(INDIRECT("B"&amp;$F66), 4, 0):INDIRECT("B"&amp;$F67), "*"&amp;$M$2&amp;"*", OFFSET(INDIRECT("C"&amp;$F66), 4, 0):OFFSET(INDIRECT("C"&amp;$F67), -1, 0))</f>
        <v>102.4</v>
      </c>
      <c r="N66" s="3">
        <f ca="1">SUMIF(OFFSET(INDIRECT("B"&amp;$F66), 4, 0):INDIRECT("B"&amp;$F67), "*"&amp;$N$2&amp;"*", OFFSET(INDIRECT("C"&amp;$F66), 4, 0):OFFSET(INDIRECT("C"&amp;$F67), -1, 0))</f>
        <v>0</v>
      </c>
      <c r="O66" s="3">
        <f ca="1">SUMIF(OFFSET(INDIRECT("B"&amp;$F66), 4, 0):INDIRECT("B"&amp;$F67), "*"&amp;$O$2&amp;"*", OFFSET(INDIRECT("C"&amp;$F66), 4, 0):OFFSET(INDIRECT("C"&amp;$F67), -1, 0))</f>
        <v>38.4</v>
      </c>
      <c r="P66" s="3">
        <f ca="1">SUMIF(OFFSET(INDIRECT("B"&amp;$F66), 4, 0):INDIRECT("B"&amp;$F67), "*"&amp;$P$2&amp;"*", OFFSET(INDIRECT("C"&amp;$F66), 4, 0):OFFSET(INDIRECT("C"&amp;$F67), -1, 0))</f>
        <v>95.9</v>
      </c>
      <c r="Q66" s="3">
        <f t="shared" ca="1" si="1"/>
        <v>1630.3000000000004</v>
      </c>
      <c r="W66" s="1" t="s">
        <v>102</v>
      </c>
    </row>
    <row r="67" spans="1:23" x14ac:dyDescent="0.25">
      <c r="A67" s="1">
        <f t="shared" si="2"/>
        <v>0</v>
      </c>
      <c r="B67" s="1" t="s">
        <v>22</v>
      </c>
      <c r="C67" s="1">
        <v>109.6</v>
      </c>
      <c r="D67" s="1">
        <v>2</v>
      </c>
      <c r="F67" s="4" cm="1">
        <f t="array" aca="1" ref="F67" ca="1">INDEX(OFFSET(INDIRECT("A"&amp;F66), 1, 0):OFFSET(OFFSET(INDIRECT("A"&amp;F66), 1, 0), 100, 0),MATCH(TRUE,INDEX(OFFSET(INDIRECT("A"&amp;F66), 1, 0):OFFSET(OFFSET(INDIRECT("A"&amp;F66), 1, 0), 100, 0)&lt;&gt;0,),0))</f>
        <v>1696</v>
      </c>
      <c r="G67" s="1" t="str" cm="1">
        <f t="array" aca="1" ref="G67" ca="1">INDIRECT("B"&amp;$F67)</f>
        <v>LE</v>
      </c>
      <c r="H67" s="3" t="str" cm="1">
        <f t="array" aca="1" ref="H67" ca="1">_xlfn.IFS(COUNTIF($V$3:$V$18, G67)&lt;&gt;0, "S", COUNTIF($W$3:$W$99, G67)&lt;&gt;0, "E", COUNTIF($X$3, G67)&lt;&gt;0, "I", COUNTIF($Y$3:$Y$8, G67)&lt;&gt;0, "W")</f>
        <v>E</v>
      </c>
      <c r="I67" s="3">
        <f ca="1">SUMIF(OFFSET(INDIRECT("B"&amp;$F67), 4, 0):INDIRECT("B"&amp;$F68), "*"&amp;$I$2&amp;"*", OFFSET(INDIRECT("C"&amp;$F67), 4, 0):OFFSET(INDIRECT("C"&amp;$F68), -1, 0))</f>
        <v>1229.95</v>
      </c>
      <c r="J67" s="3">
        <f ca="1">SUMIF(OFFSET(INDIRECT("B"&amp;$F67), 4, 0):INDIRECT("B"&amp;$F68), "*"&amp;$J$2&amp;"*", OFFSET(INDIRECT("C"&amp;$F67), 4, 0):OFFSET(INDIRECT("C"&amp;$F68), -1, 0))</f>
        <v>38.4</v>
      </c>
      <c r="K67" s="3">
        <f ca="1">SUMIF(OFFSET(INDIRECT("B"&amp;$F67), 4, 0):INDIRECT("B"&amp;$F68), "*"&amp;$K$2&amp;"*", OFFSET(INDIRECT("C"&amp;$F67), 4, 0):OFFSET(INDIRECT("C"&amp;$F68), -1, 0))</f>
        <v>0</v>
      </c>
      <c r="L67" s="3">
        <f ca="1">SUMIF(OFFSET(INDIRECT("B"&amp;$F67), 4, 0):INDIRECT("B"&amp;$F68), "*"&amp;$L$2&amp;"*", OFFSET(INDIRECT("C"&amp;$F67), 4, 0):OFFSET(INDIRECT("C"&amp;$F68), -1, 0))</f>
        <v>158.73000000000002</v>
      </c>
      <c r="M67" s="3">
        <f ca="1">SUMIF(OFFSET(INDIRECT("B"&amp;$F67), 4, 0):INDIRECT("B"&amp;$F68), "*"&amp;$M$2&amp;"*", OFFSET(INDIRECT("C"&amp;$F67), 4, 0):OFFSET(INDIRECT("C"&amp;$F68), -1, 0))</f>
        <v>54.8</v>
      </c>
      <c r="N67" s="3">
        <f ca="1">SUMIF(OFFSET(INDIRECT("B"&amp;$F67), 4, 0):INDIRECT("B"&amp;$F68), "*"&amp;$N$2&amp;"*", OFFSET(INDIRECT("C"&amp;$F67), 4, 0):OFFSET(INDIRECT("C"&amp;$F68), -1, 0))</f>
        <v>76.8</v>
      </c>
      <c r="O67" s="3">
        <f ca="1">SUMIF(OFFSET(INDIRECT("B"&amp;$F67), 4, 0):INDIRECT("B"&amp;$F68), "*"&amp;$O$2&amp;"*", OFFSET(INDIRECT("C"&amp;$F67), 4, 0):OFFSET(INDIRECT("C"&amp;$F68), -1, 0))</f>
        <v>0</v>
      </c>
      <c r="P67" s="3">
        <f ca="1">SUMIF(OFFSET(INDIRECT("B"&amp;$F67), 4, 0):INDIRECT("B"&amp;$F68), "*"&amp;$P$2&amp;"*", OFFSET(INDIRECT("C"&amp;$F67), 4, 0):OFFSET(INDIRECT("C"&amp;$F68), -1, 0))</f>
        <v>109.6</v>
      </c>
      <c r="Q67" s="3">
        <f t="shared" ca="1" si="1"/>
        <v>1668.28</v>
      </c>
      <c r="W67" s="1" t="s">
        <v>168</v>
      </c>
    </row>
    <row r="68" spans="1:23" x14ac:dyDescent="0.25">
      <c r="A68" s="1">
        <f t="shared" si="2"/>
        <v>0</v>
      </c>
      <c r="B68" s="1" t="s">
        <v>10</v>
      </c>
      <c r="C68" s="1">
        <v>38.4</v>
      </c>
      <c r="D68" s="1">
        <v>1</v>
      </c>
      <c r="F68" s="4" cm="1">
        <f t="array" aca="1" ref="F68" ca="1">INDEX(OFFSET(INDIRECT("A"&amp;F67), 1, 0):OFFSET(OFFSET(INDIRECT("A"&amp;F67), 1, 0), 100, 0),MATCH(TRUE,INDEX(OFFSET(INDIRECT("A"&amp;F67), 1, 0):OFFSET(OFFSET(INDIRECT("A"&amp;F67), 1, 0), 100, 0)&lt;&gt;0,),0))</f>
        <v>1717</v>
      </c>
      <c r="G68" s="1" t="str" cm="1">
        <f t="array" aca="1" ref="G68" ca="1">INDIRECT("B"&amp;$F68)</f>
        <v>TW</v>
      </c>
      <c r="H68" s="3" t="str" cm="1">
        <f t="array" aca="1" ref="H68" ca="1">_xlfn.IFS(COUNTIF($V$3:$V$18, G68)&lt;&gt;0, "S", COUNTIF($W$3:$W$99, G68)&lt;&gt;0, "E", COUNTIF($X$3, G68)&lt;&gt;0, "I", COUNTIF($Y$3:$Y$8, G68)&lt;&gt;0, "W")</f>
        <v>E</v>
      </c>
      <c r="I68" s="3">
        <f ca="1">SUMIF(OFFSET(INDIRECT("B"&amp;$F68), 4, 0):INDIRECT("B"&amp;$F69), "*"&amp;$I$2&amp;"*", OFFSET(INDIRECT("C"&amp;$F68), 4, 0):OFFSET(INDIRECT("C"&amp;$F69), -1, 0))</f>
        <v>685.2</v>
      </c>
      <c r="J68" s="3">
        <f ca="1">SUMIF(OFFSET(INDIRECT("B"&amp;$F68), 4, 0):INDIRECT("B"&amp;$F69), "*"&amp;$J$2&amp;"*", OFFSET(INDIRECT("C"&amp;$F68), 4, 0):OFFSET(INDIRECT("C"&amp;$F69), -1, 0))</f>
        <v>0</v>
      </c>
      <c r="K68" s="3">
        <f ca="1">SUMIF(OFFSET(INDIRECT("B"&amp;$F68), 4, 0):INDIRECT("B"&amp;$F69), "*"&amp;$K$2&amp;"*", OFFSET(INDIRECT("C"&amp;$F68), 4, 0):OFFSET(INDIRECT("C"&amp;$F69), -1, 0))</f>
        <v>28.75</v>
      </c>
      <c r="L68" s="3">
        <f ca="1">SUMIF(OFFSET(INDIRECT("B"&amp;$F68), 4, 0):INDIRECT("B"&amp;$F69), "*"&amp;$L$2&amp;"*", OFFSET(INDIRECT("C"&amp;$F68), 4, 0):OFFSET(INDIRECT("C"&amp;$F69), -1, 0))</f>
        <v>0</v>
      </c>
      <c r="M68" s="3">
        <f ca="1">SUMIF(OFFSET(INDIRECT("B"&amp;$F68), 4, 0):INDIRECT("B"&amp;$F69), "*"&amp;$M$2&amp;"*", OFFSET(INDIRECT("C"&amp;$F68), 4, 0):OFFSET(INDIRECT("C"&amp;$F69), -1, 0))</f>
        <v>109.6</v>
      </c>
      <c r="N68" s="3">
        <f ca="1">SUMIF(OFFSET(INDIRECT("B"&amp;$F68), 4, 0):INDIRECT("B"&amp;$F69), "*"&amp;$N$2&amp;"*", OFFSET(INDIRECT("C"&amp;$F68), 4, 0):OFFSET(INDIRECT("C"&amp;$F69), -1, 0))</f>
        <v>0</v>
      </c>
      <c r="O68" s="3">
        <f ca="1">SUMIF(OFFSET(INDIRECT("B"&amp;$F68), 4, 0):INDIRECT("B"&amp;$F69), "*"&amp;$O$2&amp;"*", OFFSET(INDIRECT("C"&amp;$F68), 4, 0):OFFSET(INDIRECT("C"&amp;$F69), -1, 0))</f>
        <v>0</v>
      </c>
      <c r="P68" s="3">
        <f ca="1">SUMIF(OFFSET(INDIRECT("B"&amp;$F68), 4, 0):INDIRECT("B"&amp;$F69), "*"&amp;$P$2&amp;"*", OFFSET(INDIRECT("C"&amp;$F68), 4, 0):OFFSET(INDIRECT("C"&amp;$F69), -1, 0))</f>
        <v>105.55</v>
      </c>
      <c r="Q68" s="3">
        <f t="shared" ref="Q68:Q120" ca="1" si="3">SUM($I68:$P68)</f>
        <v>929.1</v>
      </c>
      <c r="W68" s="1" t="s">
        <v>164</v>
      </c>
    </row>
    <row r="69" spans="1:23" x14ac:dyDescent="0.25">
      <c r="A69" s="1">
        <f t="shared" si="2"/>
        <v>0</v>
      </c>
      <c r="B69" s="1" t="s">
        <v>8</v>
      </c>
      <c r="C69" s="1">
        <v>54.8</v>
      </c>
      <c r="D69" s="1">
        <v>1</v>
      </c>
      <c r="F69" s="4" cm="1">
        <f t="array" aca="1" ref="F69" ca="1">INDEX(OFFSET(INDIRECT("A"&amp;F68), 1, 0):OFFSET(OFFSET(INDIRECT("A"&amp;F68), 1, 0), 100, 0),MATCH(TRUE,INDEX(OFFSET(INDIRECT("A"&amp;F68), 1, 0):OFFSET(OFFSET(INDIRECT("A"&amp;F68), 1, 0), 100, 0)&lt;&gt;0,),0))</f>
        <v>1732</v>
      </c>
      <c r="G69" s="1" t="str" cm="1">
        <f t="array" aca="1" ref="G69" ca="1">INDIRECT("B"&amp;$F69)</f>
        <v>NR</v>
      </c>
      <c r="H69" s="3" t="str" cm="1">
        <f t="array" aca="1" ref="H69" ca="1">_xlfn.IFS(COUNTIF($V$3:$V$18, G69)&lt;&gt;0, "S", COUNTIF($W$3:$W$99, G69)&lt;&gt;0, "E", COUNTIF($X$3, G69)&lt;&gt;0, "I", COUNTIF($Y$3:$Y$8, G69)&lt;&gt;0, "W")</f>
        <v>E</v>
      </c>
      <c r="I69" s="3">
        <f ca="1">SUMIF(OFFSET(INDIRECT("B"&amp;$F69), 4, 0):INDIRECT("B"&amp;$F70), "*"&amp;$I$2&amp;"*", OFFSET(INDIRECT("C"&amp;$F69), 4, 0):OFFSET(INDIRECT("C"&amp;$F70), -1, 0))</f>
        <v>618.4</v>
      </c>
      <c r="J69" s="3">
        <f ca="1">SUMIF(OFFSET(INDIRECT("B"&amp;$F69), 4, 0):INDIRECT("B"&amp;$F70), "*"&amp;$J$2&amp;"*", OFFSET(INDIRECT("C"&amp;$F69), 4, 0):OFFSET(INDIRECT("C"&amp;$F70), -1, 0))</f>
        <v>0</v>
      </c>
      <c r="K69" s="3">
        <f ca="1">SUMIF(OFFSET(INDIRECT("B"&amp;$F69), 4, 0):INDIRECT("B"&amp;$F70), "*"&amp;$K$2&amp;"*", OFFSET(INDIRECT("C"&amp;$F69), 4, 0):OFFSET(INDIRECT("C"&amp;$F70), -1, 0))</f>
        <v>38.4</v>
      </c>
      <c r="L69" s="3">
        <f ca="1">SUMIF(OFFSET(INDIRECT("B"&amp;$F69), 4, 0):INDIRECT("B"&amp;$F70), "*"&amp;$L$2&amp;"*", OFFSET(INDIRECT("C"&amp;$F69), 4, 0):OFFSET(INDIRECT("C"&amp;$F70), -1, 0))</f>
        <v>0</v>
      </c>
      <c r="M69" s="3">
        <f ca="1">SUMIF(OFFSET(INDIRECT("B"&amp;$F69), 4, 0):INDIRECT("B"&amp;$F70), "*"&amp;$M$2&amp;"*", OFFSET(INDIRECT("C"&amp;$F69), 4, 0):OFFSET(INDIRECT("C"&amp;$F70), -1, 0))</f>
        <v>131.6</v>
      </c>
      <c r="N69" s="3">
        <f ca="1">SUMIF(OFFSET(INDIRECT("B"&amp;$F69), 4, 0):INDIRECT("B"&amp;$F70), "*"&amp;$N$2&amp;"*", OFFSET(INDIRECT("C"&amp;$F69), 4, 0):OFFSET(INDIRECT("C"&amp;$F70), -1, 0))</f>
        <v>28.75</v>
      </c>
      <c r="O69" s="3">
        <f ca="1">SUMIF(OFFSET(INDIRECT("B"&amp;$F69), 4, 0):INDIRECT("B"&amp;$F70), "*"&amp;$O$2&amp;"*", OFFSET(INDIRECT("C"&amp;$F69), 4, 0):OFFSET(INDIRECT("C"&amp;$F70), -1, 0))</f>
        <v>0</v>
      </c>
      <c r="P69" s="3">
        <f ca="1">SUMIF(OFFSET(INDIRECT("B"&amp;$F69), 4, 0):INDIRECT("B"&amp;$F70), "*"&amp;$P$2&amp;"*", OFFSET(INDIRECT("C"&amp;$F69), 4, 0):OFFSET(INDIRECT("C"&amp;$F70), -1, 0))</f>
        <v>208.39999999999998</v>
      </c>
      <c r="Q69" s="3">
        <f t="shared" ca="1" si="3"/>
        <v>1025.55</v>
      </c>
      <c r="W69" s="1" t="s">
        <v>88</v>
      </c>
    </row>
    <row r="70" spans="1:23" x14ac:dyDescent="0.25">
      <c r="A70" s="1">
        <f t="shared" si="2"/>
        <v>0</v>
      </c>
      <c r="B70" s="1" t="s">
        <v>7</v>
      </c>
      <c r="C70" s="1">
        <v>54.8</v>
      </c>
      <c r="D70" s="1">
        <v>1</v>
      </c>
      <c r="F70" s="4" cm="1">
        <f t="array" aca="1" ref="F70" ca="1">INDEX(OFFSET(INDIRECT("A"&amp;F69), 1, 0):OFFSET(OFFSET(INDIRECT("A"&amp;F69), 1, 0), 100, 0),MATCH(TRUE,INDEX(OFFSET(INDIRECT("A"&amp;F69), 1, 0):OFFSET(OFFSET(INDIRECT("A"&amp;F69), 1, 0), 100, 0)&lt;&gt;0,),0))</f>
        <v>1749</v>
      </c>
      <c r="G70" s="1" t="str" cm="1">
        <f t="array" aca="1" ref="G70" ca="1">INDIRECT("B"&amp;$F70)</f>
        <v>HP</v>
      </c>
      <c r="H70" s="3" t="str" cm="1">
        <f t="array" aca="1" ref="H70" ca="1">_xlfn.IFS(COUNTIF($V$3:$V$18, G70)&lt;&gt;0, "S", COUNTIF($W$3:$W$99, G70)&lt;&gt;0, "E", COUNTIF($X$3, G70)&lt;&gt;0, "I", COUNTIF($Y$3:$Y$8, G70)&lt;&gt;0, "W")</f>
        <v>E</v>
      </c>
      <c r="I70" s="3">
        <f ca="1">SUMIF(OFFSET(INDIRECT("B"&amp;$F70), 4, 0):INDIRECT("B"&amp;$F71), "*"&amp;$I$2&amp;"*", OFFSET(INDIRECT("C"&amp;$F70), 4, 0):OFFSET(INDIRECT("C"&amp;$F71), -1, 0))</f>
        <v>926</v>
      </c>
      <c r="J70" s="3">
        <f ca="1">SUMIF(OFFSET(INDIRECT("B"&amp;$F70), 4, 0):INDIRECT("B"&amp;$F71), "*"&amp;$J$2&amp;"*", OFFSET(INDIRECT("C"&amp;$F70), 4, 0):OFFSET(INDIRECT("C"&amp;$F71), -1, 0))</f>
        <v>0</v>
      </c>
      <c r="K70" s="3">
        <f ca="1">SUMIF(OFFSET(INDIRECT("B"&amp;$F70), 4, 0):INDIRECT("B"&amp;$F71), "*"&amp;$K$2&amp;"*", OFFSET(INDIRECT("C"&amp;$F70), 4, 0):OFFSET(INDIRECT("C"&amp;$F71), -1, 0))</f>
        <v>0</v>
      </c>
      <c r="L70" s="3">
        <f ca="1">SUMIF(OFFSET(INDIRECT("B"&amp;$F70), 4, 0):INDIRECT("B"&amp;$F71), "*"&amp;$L$2&amp;"*", OFFSET(INDIRECT("C"&amp;$F70), 4, 0):OFFSET(INDIRECT("C"&amp;$F71), -1, 0))</f>
        <v>295.59000000000003</v>
      </c>
      <c r="M70" s="3">
        <f ca="1">SUMIF(OFFSET(INDIRECT("B"&amp;$F70), 4, 0):INDIRECT("B"&amp;$F71), "*"&amp;$M$2&amp;"*", OFFSET(INDIRECT("C"&amp;$F70), 4, 0):OFFSET(INDIRECT("C"&amp;$F71), -1, 0))</f>
        <v>38.4</v>
      </c>
      <c r="N70" s="3">
        <f ca="1">SUMIF(OFFSET(INDIRECT("B"&amp;$F70), 4, 0):INDIRECT("B"&amp;$F71), "*"&amp;$N$2&amp;"*", OFFSET(INDIRECT("C"&amp;$F70), 4, 0):OFFSET(INDIRECT("C"&amp;$F71), -1, 0))</f>
        <v>57.5</v>
      </c>
      <c r="O70" s="3">
        <f ca="1">SUMIF(OFFSET(INDIRECT("B"&amp;$F70), 4, 0):INDIRECT("B"&amp;$F71), "*"&amp;$O$2&amp;"*", OFFSET(INDIRECT("C"&amp;$F70), 4, 0):OFFSET(INDIRECT("C"&amp;$F71), -1, 0))</f>
        <v>38.4</v>
      </c>
      <c r="P70" s="3">
        <f ca="1">SUMIF(OFFSET(INDIRECT("B"&amp;$F70), 4, 0):INDIRECT("B"&amp;$F71), "*"&amp;$P$2&amp;"*", OFFSET(INDIRECT("C"&amp;$F70), 4, 0):OFFSET(INDIRECT("C"&amp;$F71), -1, 0))</f>
        <v>362</v>
      </c>
      <c r="Q70" s="3">
        <f t="shared" ca="1" si="3"/>
        <v>1717.8900000000003</v>
      </c>
      <c r="W70" s="1" t="s">
        <v>70</v>
      </c>
    </row>
    <row r="71" spans="1:23" x14ac:dyDescent="0.25">
      <c r="A71" s="1">
        <f t="shared" si="2"/>
        <v>0</v>
      </c>
      <c r="B71" s="1" t="s">
        <v>12</v>
      </c>
      <c r="C71" s="1">
        <v>35</v>
      </c>
      <c r="D71" s="1">
        <v>1</v>
      </c>
      <c r="F71" s="4" cm="1">
        <f t="array" aca="1" ref="F71" ca="1">INDEX(OFFSET(INDIRECT("A"&amp;F70), 1, 0):OFFSET(OFFSET(INDIRECT("A"&amp;F70), 1, 0), 100, 0),MATCH(TRUE,INDEX(OFFSET(INDIRECT("A"&amp;F70), 1, 0):OFFSET(OFFSET(INDIRECT("A"&amp;F70), 1, 0), 100, 0)&lt;&gt;0,),0))</f>
        <v>1772</v>
      </c>
      <c r="G71" s="1" t="str" cm="1">
        <f t="array" aca="1" ref="G71" ca="1">INDIRECT("B"&amp;$F71)</f>
        <v>ZE</v>
      </c>
      <c r="H71" s="3" t="str" cm="1">
        <f t="array" aca="1" ref="H71" ca="1">_xlfn.IFS(COUNTIF($V$3:$V$18, G71)&lt;&gt;0, "S", COUNTIF($W$3:$W$99, G71)&lt;&gt;0, "E", COUNTIF($X$3, G71)&lt;&gt;0, "I", COUNTIF($Y$3:$Y$8, G71)&lt;&gt;0, "W")</f>
        <v>S</v>
      </c>
      <c r="I71" s="3">
        <f ca="1">SUMIF(OFFSET(INDIRECT("B"&amp;$F71), 4, 0):INDIRECT("B"&amp;$F72), "*"&amp;$I$2&amp;"*", OFFSET(INDIRECT("C"&amp;$F71), 4, 0):OFFSET(INDIRECT("C"&amp;$F72), -1, 0))</f>
        <v>112</v>
      </c>
      <c r="J71" s="3">
        <f ca="1">SUMIF(OFFSET(INDIRECT("B"&amp;$F71), 4, 0):INDIRECT("B"&amp;$F72), "*"&amp;$J$2&amp;"*", OFFSET(INDIRECT("C"&amp;$F71), 4, 0):OFFSET(INDIRECT("C"&amp;$F72), -1, 0))</f>
        <v>0</v>
      </c>
      <c r="K71" s="3">
        <f ca="1">SUMIF(OFFSET(INDIRECT("B"&amp;$F71), 4, 0):INDIRECT("B"&amp;$F72), "*"&amp;$K$2&amp;"*", OFFSET(INDIRECT("C"&amp;$F71), 4, 0):OFFSET(INDIRECT("C"&amp;$F72), -1, 0))</f>
        <v>0</v>
      </c>
      <c r="L71" s="3">
        <f ca="1">SUMIF(OFFSET(INDIRECT("B"&amp;$F71), 4, 0):INDIRECT("B"&amp;$F72), "*"&amp;$L$2&amp;"*", OFFSET(INDIRECT("C"&amp;$F71), 4, 0):OFFSET(INDIRECT("C"&amp;$F72), -1, 0))</f>
        <v>0</v>
      </c>
      <c r="M71" s="3">
        <f ca="1">SUMIF(OFFSET(INDIRECT("B"&amp;$F71), 4, 0):INDIRECT("B"&amp;$F72), "*"&amp;$M$2&amp;"*", OFFSET(INDIRECT("C"&amp;$F71), 4, 0):OFFSET(INDIRECT("C"&amp;$F72), -1, 0))</f>
        <v>38.4</v>
      </c>
      <c r="N71" s="3">
        <f ca="1">SUMIF(OFFSET(INDIRECT("B"&amp;$F71), 4, 0):INDIRECT("B"&amp;$F72), "*"&amp;$N$2&amp;"*", OFFSET(INDIRECT("C"&amp;$F71), 4, 0):OFFSET(INDIRECT("C"&amp;$F72), -1, 0))</f>
        <v>34.56</v>
      </c>
      <c r="O71" s="3">
        <f ca="1">SUMIF(OFFSET(INDIRECT("B"&amp;$F71), 4, 0):INDIRECT("B"&amp;$F72), "*"&amp;$O$2&amp;"*", OFFSET(INDIRECT("C"&amp;$F71), 4, 0):OFFSET(INDIRECT("C"&amp;$F72), -1, 0))</f>
        <v>0</v>
      </c>
      <c r="P71" s="3">
        <f ca="1">SUMIF(OFFSET(INDIRECT("B"&amp;$F71), 4, 0):INDIRECT("B"&amp;$F72), "*"&amp;$P$2&amp;"*", OFFSET(INDIRECT("C"&amp;$F71), 4, 0):OFFSET(INDIRECT("C"&amp;$F72), -1, 0))</f>
        <v>38.4</v>
      </c>
      <c r="Q71" s="3">
        <f t="shared" ca="1" si="3"/>
        <v>223.36</v>
      </c>
      <c r="W71" s="1" t="s">
        <v>100</v>
      </c>
    </row>
    <row r="72" spans="1:23" x14ac:dyDescent="0.25">
      <c r="A72" s="1">
        <f t="shared" si="2"/>
        <v>0</v>
      </c>
      <c r="B72" s="1" t="s">
        <v>18</v>
      </c>
      <c r="C72" s="1">
        <v>38.4</v>
      </c>
      <c r="D72" s="1">
        <v>1</v>
      </c>
      <c r="F72" s="4" cm="1">
        <f t="array" aca="1" ref="F72" ca="1">INDEX(OFFSET(INDIRECT("A"&amp;F71), 1, 0):OFFSET(OFFSET(INDIRECT("A"&amp;F71), 1, 0), 100, 0),MATCH(TRUE,INDEX(OFFSET(INDIRECT("A"&amp;F71), 1, 0):OFFSET(OFFSET(INDIRECT("A"&amp;F71), 1, 0), 100, 0)&lt;&gt;0,),0))</f>
        <v>1787</v>
      </c>
      <c r="G72" s="1" t="str" cm="1">
        <f t="array" aca="1" ref="G72" ca="1">INDIRECT("B"&amp;$F72)</f>
        <v>NN</v>
      </c>
      <c r="H72" s="3" t="str" cm="1">
        <f t="array" aca="1" ref="H72" ca="1">_xlfn.IFS(COUNTIF($V$3:$V$18, G72)&lt;&gt;0, "S", COUNTIF($W$3:$W$99, G72)&lt;&gt;0, "E", COUNTIF($X$3, G72)&lt;&gt;0, "I", COUNTIF($Y$3:$Y$8, G72)&lt;&gt;0, "W")</f>
        <v>E</v>
      </c>
      <c r="I72" s="3">
        <f ca="1">SUMIF(OFFSET(INDIRECT("B"&amp;$F72), 4, 0):INDIRECT("B"&amp;$F73), "*"&amp;$I$2&amp;"*", OFFSET(INDIRECT("C"&amp;$F72), 4, 0):OFFSET(INDIRECT("C"&amp;$F73), -1, 0))</f>
        <v>1110.8</v>
      </c>
      <c r="J72" s="3">
        <f ca="1">SUMIF(OFFSET(INDIRECT("B"&amp;$F72), 4, 0):INDIRECT("B"&amp;$F73), "*"&amp;$J$2&amp;"*", OFFSET(INDIRECT("C"&amp;$F72), 4, 0):OFFSET(INDIRECT("C"&amp;$F73), -1, 0))</f>
        <v>64</v>
      </c>
      <c r="K72" s="3">
        <f ca="1">SUMIF(OFFSET(INDIRECT("B"&amp;$F72), 4, 0):INDIRECT("B"&amp;$F73), "*"&amp;$K$2&amp;"*", OFFSET(INDIRECT("C"&amp;$F72), 4, 0):OFFSET(INDIRECT("C"&amp;$F73), -1, 0))</f>
        <v>28.75</v>
      </c>
      <c r="L72" s="3">
        <f ca="1">SUMIF(OFFSET(INDIRECT("B"&amp;$F72), 4, 0):INDIRECT("B"&amp;$F73), "*"&amp;$L$2&amp;"*", OFFSET(INDIRECT("C"&amp;$F72), 4, 0):OFFSET(INDIRECT("C"&amp;$F73), -1, 0))</f>
        <v>151.69</v>
      </c>
      <c r="M72" s="3">
        <f ca="1">SUMIF(OFFSET(INDIRECT("B"&amp;$F72), 4, 0):INDIRECT("B"&amp;$F73), "*"&amp;$M$2&amp;"*", OFFSET(INDIRECT("C"&amp;$F72), 4, 0):OFFSET(INDIRECT("C"&amp;$F73), -1, 0))</f>
        <v>321.2</v>
      </c>
      <c r="N72" s="3">
        <f ca="1">SUMIF(OFFSET(INDIRECT("B"&amp;$F72), 4, 0):INDIRECT("B"&amp;$F73), "*"&amp;$N$2&amp;"*", OFFSET(INDIRECT("C"&amp;$F72), 4, 0):OFFSET(INDIRECT("C"&amp;$F73), -1, 0))</f>
        <v>38.4</v>
      </c>
      <c r="O72" s="3">
        <f ca="1">SUMIF(OFFSET(INDIRECT("B"&amp;$F72), 4, 0):INDIRECT("B"&amp;$F73), "*"&amp;$O$2&amp;"*", OFFSET(INDIRECT("C"&amp;$F72), 4, 0):OFFSET(INDIRECT("C"&amp;$F73), -1, 0))</f>
        <v>0</v>
      </c>
      <c r="P72" s="3">
        <f ca="1">SUMIF(OFFSET(INDIRECT("B"&amp;$F72), 4, 0):INDIRECT("B"&amp;$F73), "*"&amp;$P$2&amp;"*", OFFSET(INDIRECT("C"&amp;$F72), 4, 0):OFFSET(INDIRECT("C"&amp;$F73), -1, 0))</f>
        <v>287.89999999999998</v>
      </c>
      <c r="Q72" s="3">
        <f t="shared" ca="1" si="3"/>
        <v>2002.7400000000002</v>
      </c>
      <c r="W72" s="1" t="s">
        <v>106</v>
      </c>
    </row>
    <row r="73" spans="1:23" x14ac:dyDescent="0.25">
      <c r="A73" s="1">
        <f t="shared" si="2"/>
        <v>73</v>
      </c>
      <c r="B73" s="1" t="s">
        <v>48</v>
      </c>
      <c r="F73" s="4" cm="1">
        <f t="array" aca="1" ref="F73" ca="1">INDEX(OFFSET(INDIRECT("A"&amp;F72), 1, 0):OFFSET(OFFSET(INDIRECT("A"&amp;F72), 1, 0), 100, 0),MATCH(TRUE,INDEX(OFFSET(INDIRECT("A"&amp;F72), 1, 0):OFFSET(OFFSET(INDIRECT("A"&amp;F72), 1, 0), 100, 0)&lt;&gt;0,),0))</f>
        <v>1814</v>
      </c>
      <c r="G73" s="1" t="str" cm="1">
        <f t="array" aca="1" ref="G73" ca="1">INDIRECT("B"&amp;$F73)</f>
        <v>YO</v>
      </c>
      <c r="H73" s="3" t="str" cm="1">
        <f t="array" aca="1" ref="H73" ca="1">_xlfn.IFS(COUNTIF($V$3:$V$18, G73)&lt;&gt;0, "S", COUNTIF($W$3:$W$99, G73)&lt;&gt;0, "E", COUNTIF($X$3, G73)&lt;&gt;0, "I", COUNTIF($Y$3:$Y$8, G73)&lt;&gt;0, "W")</f>
        <v>E</v>
      </c>
      <c r="I73" s="3">
        <f ca="1">SUMIF(OFFSET(INDIRECT("B"&amp;$F73), 4, 0):INDIRECT("B"&amp;$F74), "*"&amp;$I$2&amp;"*", OFFSET(INDIRECT("C"&amp;$F73), 4, 0):OFFSET(INDIRECT("C"&amp;$F74), -1, 0))</f>
        <v>1026.4000000000001</v>
      </c>
      <c r="J73" s="3">
        <f ca="1">SUMIF(OFFSET(INDIRECT("B"&amp;$F73), 4, 0):INDIRECT("B"&amp;$F74), "*"&amp;$J$2&amp;"*", OFFSET(INDIRECT("C"&amp;$F73), 4, 0):OFFSET(INDIRECT("C"&amp;$F74), -1, 0))</f>
        <v>492.32000000000005</v>
      </c>
      <c r="K73" s="3">
        <f ca="1">SUMIF(OFFSET(INDIRECT("B"&amp;$F73), 4, 0):INDIRECT("B"&amp;$F74), "*"&amp;$K$2&amp;"*", OFFSET(INDIRECT("C"&amp;$F73), 4, 0):OFFSET(INDIRECT("C"&amp;$F74), -1, 0))</f>
        <v>38.4</v>
      </c>
      <c r="L73" s="3">
        <f ca="1">SUMIF(OFFSET(INDIRECT("B"&amp;$F73), 4, 0):INDIRECT("B"&amp;$F74), "*"&amp;$L$2&amp;"*", OFFSET(INDIRECT("C"&amp;$F73), 4, 0):OFFSET(INDIRECT("C"&amp;$F74), -1, 0))</f>
        <v>147.58999999999997</v>
      </c>
      <c r="M73" s="3">
        <f ca="1">SUMIF(OFFSET(INDIRECT("B"&amp;$F73), 4, 0):INDIRECT("B"&amp;$F74), "*"&amp;$M$2&amp;"*", OFFSET(INDIRECT("C"&amp;$F73), 4, 0):OFFSET(INDIRECT("C"&amp;$F74), -1, 0))</f>
        <v>153.6</v>
      </c>
      <c r="N73" s="3">
        <f ca="1">SUMIF(OFFSET(INDIRECT("B"&amp;$F73), 4, 0):INDIRECT("B"&amp;$F74), "*"&amp;$N$2&amp;"*", OFFSET(INDIRECT("C"&amp;$F73), 4, 0):OFFSET(INDIRECT("C"&amp;$F74), -1, 0))</f>
        <v>213.07000000000002</v>
      </c>
      <c r="O73" s="3">
        <f ca="1">SUMIF(OFFSET(INDIRECT("B"&amp;$F73), 4, 0):INDIRECT("B"&amp;$F74), "*"&amp;$O$2&amp;"*", OFFSET(INDIRECT("C"&amp;$F73), 4, 0):OFFSET(INDIRECT("C"&amp;$F74), -1, 0))</f>
        <v>0</v>
      </c>
      <c r="P73" s="3">
        <f ca="1">SUMIF(OFFSET(INDIRECT("B"&amp;$F73), 4, 0):INDIRECT("B"&amp;$F74), "*"&amp;$P$2&amp;"*", OFFSET(INDIRECT("C"&amp;$F73), 4, 0):OFFSET(INDIRECT("C"&amp;$F74), -1, 0))</f>
        <v>253.55</v>
      </c>
      <c r="Q73" s="3">
        <f t="shared" ca="1" si="3"/>
        <v>2324.9300000000003</v>
      </c>
      <c r="W73" s="1" t="s">
        <v>124</v>
      </c>
    </row>
    <row r="74" spans="1:23" x14ac:dyDescent="0.25">
      <c r="A74" s="1">
        <f t="shared" si="2"/>
        <v>0</v>
      </c>
      <c r="B74" s="1" t="s">
        <v>1</v>
      </c>
      <c r="C74" s="1">
        <v>128</v>
      </c>
      <c r="F74" s="4" cm="1">
        <f t="array" aca="1" ref="F74" ca="1">INDEX(OFFSET(INDIRECT("A"&amp;F73), 1, 0):OFFSET(OFFSET(INDIRECT("A"&amp;F73), 1, 0), 100, 0),MATCH(TRUE,INDEX(OFFSET(INDIRECT("A"&amp;F73), 1, 0):OFFSET(OFFSET(INDIRECT("A"&amp;F73), 1, 0), 100, 0)&lt;&gt;0,),0))</f>
        <v>1843</v>
      </c>
      <c r="G74" s="1" t="str" cm="1">
        <f t="array" aca="1" ref="G74" ca="1">INDIRECT("B"&amp;$F74)</f>
        <v>CV</v>
      </c>
      <c r="H74" s="3" t="str" cm="1">
        <f t="array" aca="1" ref="H74" ca="1">_xlfn.IFS(COUNTIF($V$3:$V$18, G74)&lt;&gt;0, "S", COUNTIF($W$3:$W$99, G74)&lt;&gt;0, "E", COUNTIF($X$3, G74)&lt;&gt;0, "I", COUNTIF($Y$3:$Y$8, G74)&lt;&gt;0, "W")</f>
        <v>E</v>
      </c>
      <c r="I74" s="3">
        <f ca="1">SUMIF(OFFSET(INDIRECT("B"&amp;$F74), 4, 0):INDIRECT("B"&amp;$F75), "*"&amp;$I$2&amp;"*", OFFSET(INDIRECT("C"&amp;$F74), 4, 0):OFFSET(INDIRECT("C"&amp;$F75), -1, 0))</f>
        <v>1161.95</v>
      </c>
      <c r="J74" s="3">
        <f ca="1">SUMIF(OFFSET(INDIRECT("B"&amp;$F74), 4, 0):INDIRECT("B"&amp;$F75), "*"&amp;$J$2&amp;"*", OFFSET(INDIRECT("C"&amp;$F74), 4, 0):OFFSET(INDIRECT("C"&amp;$F75), -1, 0))</f>
        <v>173.6</v>
      </c>
      <c r="K74" s="3">
        <f ca="1">SUMIF(OFFSET(INDIRECT("B"&amp;$F74), 4, 0):INDIRECT("B"&amp;$F75), "*"&amp;$K$2&amp;"*", OFFSET(INDIRECT("C"&amp;$F74), 4, 0):OFFSET(INDIRECT("C"&amp;$F75), -1, 0))</f>
        <v>40</v>
      </c>
      <c r="L74" s="3">
        <f ca="1">SUMIF(OFFSET(INDIRECT("B"&amp;$F74), 4, 0):INDIRECT("B"&amp;$F75), "*"&amp;$L$2&amp;"*", OFFSET(INDIRECT("C"&amp;$F74), 4, 0):OFFSET(INDIRECT("C"&amp;$F75), -1, 0))</f>
        <v>381.94</v>
      </c>
      <c r="M74" s="3">
        <f ca="1">SUMIF(OFFSET(INDIRECT("B"&amp;$F74), 4, 0):INDIRECT("B"&amp;$F75), "*"&amp;$M$2&amp;"*", OFFSET(INDIRECT("C"&amp;$F74), 4, 0):OFFSET(INDIRECT("C"&amp;$F75), -1, 0))</f>
        <v>148</v>
      </c>
      <c r="N74" s="3">
        <f ca="1">SUMIF(OFFSET(INDIRECT("B"&amp;$F74), 4, 0):INDIRECT("B"&amp;$F75), "*"&amp;$N$2&amp;"*", OFFSET(INDIRECT("C"&amp;$F74), 4, 0):OFFSET(INDIRECT("C"&amp;$F75), -1, 0))</f>
        <v>101.71</v>
      </c>
      <c r="O74" s="3">
        <f ca="1">SUMIF(OFFSET(INDIRECT("B"&amp;$F74), 4, 0):INDIRECT("B"&amp;$F75), "*"&amp;$O$2&amp;"*", OFFSET(INDIRECT("C"&amp;$F74), 4, 0):OFFSET(INDIRECT("C"&amp;$F75), -1, 0))</f>
        <v>0</v>
      </c>
      <c r="P74" s="3">
        <f ca="1">SUMIF(OFFSET(INDIRECT("B"&amp;$F74), 4, 0):INDIRECT("B"&amp;$F75), "*"&amp;$P$2&amp;"*", OFFSET(INDIRECT("C"&amp;$F74), 4, 0):OFFSET(INDIRECT("C"&amp;$F75), -1, 0))</f>
        <v>287.89999999999998</v>
      </c>
      <c r="Q74" s="3">
        <f t="shared" ca="1" si="3"/>
        <v>2295.1</v>
      </c>
      <c r="W74" s="1" t="s">
        <v>187</v>
      </c>
    </row>
    <row r="75" spans="1:23" x14ac:dyDescent="0.25">
      <c r="A75" s="1">
        <f t="shared" si="2"/>
        <v>0</v>
      </c>
      <c r="B75" s="1" t="s">
        <v>2</v>
      </c>
      <c r="C75" s="1">
        <v>5201.37</v>
      </c>
      <c r="F75" s="4" cm="1">
        <f t="array" aca="1" ref="F75" ca="1">INDEX(OFFSET(INDIRECT("A"&amp;F74), 1, 0):OFFSET(OFFSET(INDIRECT("A"&amp;F74), 1, 0), 100, 0),MATCH(TRUE,INDEX(OFFSET(INDIRECT("A"&amp;F74), 1, 0):OFFSET(OFFSET(INDIRECT("A"&amp;F74), 1, 0), 100, 0)&lt;&gt;0,),0))</f>
        <v>1876</v>
      </c>
      <c r="G75" s="1" t="str" cm="1">
        <f t="array" aca="1" ref="G75" ca="1">INDIRECT("B"&amp;$F75)</f>
        <v>CT</v>
      </c>
      <c r="H75" s="3" t="str" cm="1">
        <f t="array" aca="1" ref="H75" ca="1">_xlfn.IFS(COUNTIF($V$3:$V$18, G75)&lt;&gt;0, "S", COUNTIF($W$3:$W$99, G75)&lt;&gt;0, "E", COUNTIF($X$3, G75)&lt;&gt;0, "I", COUNTIF($Y$3:$Y$8, G75)&lt;&gt;0, "W")</f>
        <v>E</v>
      </c>
      <c r="I75" s="3">
        <f ca="1">SUMIF(OFFSET(INDIRECT("B"&amp;$F75), 4, 0):INDIRECT("B"&amp;$F76), "*"&amp;$I$2&amp;"*", OFFSET(INDIRECT("C"&amp;$F75), 4, 0):OFFSET(INDIRECT("C"&amp;$F76), -1, 0))</f>
        <v>1706</v>
      </c>
      <c r="J75" s="3">
        <f ca="1">SUMIF(OFFSET(INDIRECT("B"&amp;$F75), 4, 0):INDIRECT("B"&amp;$F76), "*"&amp;$J$2&amp;"*", OFFSET(INDIRECT("C"&amp;$F75), 4, 0):OFFSET(INDIRECT("C"&amp;$F76), -1, 0))</f>
        <v>149.76</v>
      </c>
      <c r="K75" s="3">
        <f ca="1">SUMIF(OFFSET(INDIRECT("B"&amp;$F75), 4, 0):INDIRECT("B"&amp;$F76), "*"&amp;$K$2&amp;"*", OFFSET(INDIRECT("C"&amp;$F75), 4, 0):OFFSET(INDIRECT("C"&amp;$F76), -1, 0))</f>
        <v>0</v>
      </c>
      <c r="L75" s="3">
        <f ca="1">SUMIF(OFFSET(INDIRECT("B"&amp;$F75), 4, 0):INDIRECT("B"&amp;$F76), "*"&amp;$L$2&amp;"*", OFFSET(INDIRECT("C"&amp;$F75), 4, 0):OFFSET(INDIRECT("C"&amp;$F76), -1, 0))</f>
        <v>0</v>
      </c>
      <c r="M75" s="3">
        <f ca="1">SUMIF(OFFSET(INDIRECT("B"&amp;$F75), 4, 0):INDIRECT("B"&amp;$F76), "*"&amp;$M$2&amp;"*", OFFSET(INDIRECT("C"&amp;$F75), 4, 0):OFFSET(INDIRECT("C"&amp;$F76), -1, 0))</f>
        <v>0</v>
      </c>
      <c r="N75" s="3">
        <f ca="1">SUMIF(OFFSET(INDIRECT("B"&amp;$F75), 4, 0):INDIRECT("B"&amp;$F76), "*"&amp;$N$2&amp;"*", OFFSET(INDIRECT("C"&amp;$F75), 4, 0):OFFSET(INDIRECT("C"&amp;$F76), -1, 0))</f>
        <v>34.56</v>
      </c>
      <c r="O75" s="3">
        <f ca="1">SUMIF(OFFSET(INDIRECT("B"&amp;$F75), 4, 0):INDIRECT("B"&amp;$F76), "*"&amp;$O$2&amp;"*", OFFSET(INDIRECT("C"&amp;$F75), 4, 0):OFFSET(INDIRECT("C"&amp;$F76), -1, 0))</f>
        <v>0</v>
      </c>
      <c r="P75" s="3">
        <f ca="1">SUMIF(OFFSET(INDIRECT("B"&amp;$F75), 4, 0):INDIRECT("B"&amp;$F76), "*"&amp;$P$2&amp;"*", OFFSET(INDIRECT("C"&amp;$F75), 4, 0):OFFSET(INDIRECT("C"&amp;$F76), -1, 0))</f>
        <v>105.55000000000001</v>
      </c>
      <c r="Q75" s="3">
        <f t="shared" ca="1" si="3"/>
        <v>1995.87</v>
      </c>
      <c r="W75" s="1" t="s">
        <v>146</v>
      </c>
    </row>
    <row r="76" spans="1:23" x14ac:dyDescent="0.25">
      <c r="A76" s="1">
        <f t="shared" si="2"/>
        <v>0</v>
      </c>
      <c r="B76" s="1" t="s">
        <v>3</v>
      </c>
      <c r="C76" s="1" t="s">
        <v>4</v>
      </c>
      <c r="D76" s="1" t="s">
        <v>5</v>
      </c>
      <c r="F76" s="4" cm="1">
        <f t="array" aca="1" ref="F76" ca="1">INDEX(OFFSET(INDIRECT("A"&amp;F75), 1, 0):OFFSET(OFFSET(INDIRECT("A"&amp;F75), 1, 0), 100, 0),MATCH(TRUE,INDEX(OFFSET(INDIRECT("A"&amp;F75), 1, 0):OFFSET(OFFSET(INDIRECT("A"&amp;F75), 1, 0), 100, 0)&lt;&gt;0,),0))</f>
        <v>1892</v>
      </c>
      <c r="G76" s="1" t="str" cm="1">
        <f t="array" aca="1" ref="G76" ca="1">INDIRECT("B"&amp;$F76)</f>
        <v>HD</v>
      </c>
      <c r="H76" s="3" t="str" cm="1">
        <f t="array" aca="1" ref="H76" ca="1">_xlfn.IFS(COUNTIF($V$3:$V$18, G76)&lt;&gt;0, "S", COUNTIF($W$3:$W$99, G76)&lt;&gt;0, "E", COUNTIF($X$3, G76)&lt;&gt;0, "I", COUNTIF($Y$3:$Y$8, G76)&lt;&gt;0, "W")</f>
        <v>E</v>
      </c>
      <c r="I76" s="3">
        <f ca="1">SUMIF(OFFSET(INDIRECT("B"&amp;$F76), 4, 0):INDIRECT("B"&amp;$F77), "*"&amp;$I$2&amp;"*", OFFSET(INDIRECT("C"&amp;$F76), 4, 0):OFFSET(INDIRECT("C"&amp;$F77), -1, 0))</f>
        <v>380.4</v>
      </c>
      <c r="J76" s="3">
        <f ca="1">SUMIF(OFFSET(INDIRECT("B"&amp;$F76), 4, 0):INDIRECT("B"&amp;$F77), "*"&amp;$J$2&amp;"*", OFFSET(INDIRECT("C"&amp;$F76), 4, 0):OFFSET(INDIRECT("C"&amp;$F77), -1, 0))</f>
        <v>54.8</v>
      </c>
      <c r="K76" s="3">
        <f ca="1">SUMIF(OFFSET(INDIRECT("B"&amp;$F76), 4, 0):INDIRECT("B"&amp;$F77), "*"&amp;$K$2&amp;"*", OFFSET(INDIRECT("C"&amp;$F76), 4, 0):OFFSET(INDIRECT("C"&amp;$F77), -1, 0))</f>
        <v>38.4</v>
      </c>
      <c r="L76" s="3">
        <f ca="1">SUMIF(OFFSET(INDIRECT("B"&amp;$F76), 4, 0):INDIRECT("B"&amp;$F77), "*"&amp;$L$2&amp;"*", OFFSET(INDIRECT("C"&amp;$F76), 4, 0):OFFSET(INDIRECT("C"&amp;$F77), -1, 0))</f>
        <v>133.19999999999999</v>
      </c>
      <c r="M76" s="3">
        <f ca="1">SUMIF(OFFSET(INDIRECT("B"&amp;$F76), 4, 0):INDIRECT("B"&amp;$F77), "*"&amp;$M$2&amp;"*", OFFSET(INDIRECT("C"&amp;$F76), 4, 0):OFFSET(INDIRECT("C"&amp;$F77), -1, 0))</f>
        <v>785.6</v>
      </c>
      <c r="N76" s="3">
        <f ca="1">SUMIF(OFFSET(INDIRECT("B"&amp;$F76), 4, 0):INDIRECT("B"&amp;$F77), "*"&amp;$N$2&amp;"*", OFFSET(INDIRECT("C"&amp;$F76), 4, 0):OFFSET(INDIRECT("C"&amp;$F77), -1, 0))</f>
        <v>0</v>
      </c>
      <c r="O76" s="3">
        <f ca="1">SUMIF(OFFSET(INDIRECT("B"&amp;$F76), 4, 0):INDIRECT("B"&amp;$F77), "*"&amp;$O$2&amp;"*", OFFSET(INDIRECT("C"&amp;$F76), 4, 0):OFFSET(INDIRECT("C"&amp;$F77), -1, 0))</f>
        <v>76.8</v>
      </c>
      <c r="P76" s="3">
        <f ca="1">SUMIF(OFFSET(INDIRECT("B"&amp;$F76), 4, 0):INDIRECT("B"&amp;$F77), "*"&amp;$P$2&amp;"*", OFFSET(INDIRECT("C"&amp;$F76), 4, 0):OFFSET(INDIRECT("C"&amp;$F77), -1, 0))</f>
        <v>208.39999999999998</v>
      </c>
      <c r="Q76" s="3">
        <f t="shared" ca="1" si="3"/>
        <v>1677.6</v>
      </c>
      <c r="W76" s="1" t="s">
        <v>133</v>
      </c>
    </row>
    <row r="77" spans="1:23" x14ac:dyDescent="0.25">
      <c r="A77" s="1">
        <f t="shared" si="2"/>
        <v>0</v>
      </c>
      <c r="B77" s="1" t="s">
        <v>49</v>
      </c>
      <c r="C77" s="1">
        <v>80</v>
      </c>
      <c r="D77" s="1">
        <v>2</v>
      </c>
      <c r="F77" s="4" cm="1">
        <f t="array" aca="1" ref="F77" ca="1">INDEX(OFFSET(INDIRECT("A"&amp;F76), 1, 0):OFFSET(OFFSET(INDIRECT("A"&amp;F76), 1, 0), 100, 0),MATCH(TRUE,INDEX(OFFSET(INDIRECT("A"&amp;F76), 1, 0):OFFSET(OFFSET(INDIRECT("A"&amp;F76), 1, 0), 100, 0)&lt;&gt;0,),0))</f>
        <v>1915</v>
      </c>
      <c r="G77" s="1" t="str" cm="1">
        <f t="array" aca="1" ref="G77" ca="1">INDIRECT("B"&amp;$F77)</f>
        <v>CR</v>
      </c>
      <c r="H77" s="3" t="str" cm="1">
        <f t="array" aca="1" ref="H77" ca="1">_xlfn.IFS(COUNTIF($V$3:$V$18, G77)&lt;&gt;0, "S", COUNTIF($W$3:$W$99, G77)&lt;&gt;0, "E", COUNTIF($X$3, G77)&lt;&gt;0, "I", COUNTIF($Y$3:$Y$8, G77)&lt;&gt;0, "W")</f>
        <v>E</v>
      </c>
      <c r="I77" s="3">
        <f ca="1">SUMIF(OFFSET(INDIRECT("B"&amp;$F77), 4, 0):INDIRECT("B"&amp;$F78), "*"&amp;$I$2&amp;"*", OFFSET(INDIRECT("C"&amp;$F77), 4, 0):OFFSET(INDIRECT("C"&amp;$F78), -1, 0))</f>
        <v>338.4</v>
      </c>
      <c r="J77" s="3">
        <f ca="1">SUMIF(OFFSET(INDIRECT("B"&amp;$F77), 4, 0):INDIRECT("B"&amp;$F78), "*"&amp;$J$2&amp;"*", OFFSET(INDIRECT("C"&amp;$F77), 4, 0):OFFSET(INDIRECT("C"&amp;$F78), -1, 0))</f>
        <v>0</v>
      </c>
      <c r="K77" s="3">
        <f ca="1">SUMIF(OFFSET(INDIRECT("B"&amp;$F77), 4, 0):INDIRECT("B"&amp;$F78), "*"&amp;$K$2&amp;"*", OFFSET(INDIRECT("C"&amp;$F77), 4, 0):OFFSET(INDIRECT("C"&amp;$F78), -1, 0))</f>
        <v>0</v>
      </c>
      <c r="L77" s="3">
        <f ca="1">SUMIF(OFFSET(INDIRECT("B"&amp;$F77), 4, 0):INDIRECT("B"&amp;$F78), "*"&amp;$L$2&amp;"*", OFFSET(INDIRECT("C"&amp;$F77), 4, 0):OFFSET(INDIRECT("C"&amp;$F78), -1, 0))</f>
        <v>0</v>
      </c>
      <c r="M77" s="3">
        <f ca="1">SUMIF(OFFSET(INDIRECT("B"&amp;$F77), 4, 0):INDIRECT("B"&amp;$F78), "*"&amp;$M$2&amp;"*", OFFSET(INDIRECT("C"&amp;$F77), 4, 0):OFFSET(INDIRECT("C"&amp;$F78), -1, 0))</f>
        <v>38.4</v>
      </c>
      <c r="N77" s="3">
        <f ca="1">SUMIF(OFFSET(INDIRECT("B"&amp;$F77), 4, 0):INDIRECT("B"&amp;$F78), "*"&amp;$N$2&amp;"*", OFFSET(INDIRECT("C"&amp;$F77), 4, 0):OFFSET(INDIRECT("C"&amp;$F78), -1, 0))</f>
        <v>0</v>
      </c>
      <c r="O77" s="3">
        <f ca="1">SUMIF(OFFSET(INDIRECT("B"&amp;$F77), 4, 0):INDIRECT("B"&amp;$F78), "*"&amp;$O$2&amp;"*", OFFSET(INDIRECT("C"&amp;$F77), 4, 0):OFFSET(INDIRECT("C"&amp;$F78), -1, 0))</f>
        <v>0</v>
      </c>
      <c r="P77" s="3">
        <f ca="1">SUMIF(OFFSET(INDIRECT("B"&amp;$F77), 4, 0):INDIRECT("B"&amp;$F78), "*"&amp;$P$2&amp;"*", OFFSET(INDIRECT("C"&amp;$F77), 4, 0):OFFSET(INDIRECT("C"&amp;$F78), -1, 0))</f>
        <v>105.55</v>
      </c>
      <c r="Q77" s="3">
        <f t="shared" ca="1" si="3"/>
        <v>482.34999999999997</v>
      </c>
      <c r="W77" s="1" t="s">
        <v>95</v>
      </c>
    </row>
    <row r="78" spans="1:23" x14ac:dyDescent="0.25">
      <c r="A78" s="1">
        <f t="shared" si="2"/>
        <v>0</v>
      </c>
      <c r="B78" s="1" t="s">
        <v>17</v>
      </c>
      <c r="C78" s="1">
        <v>537.6</v>
      </c>
      <c r="D78" s="1">
        <v>18</v>
      </c>
      <c r="F78" s="4" cm="1">
        <f t="array" aca="1" ref="F78" ca="1">INDEX(OFFSET(INDIRECT("A"&amp;F77), 1, 0):OFFSET(OFFSET(INDIRECT("A"&amp;F77), 1, 0), 100, 0),MATCH(TRUE,INDEX(OFFSET(INDIRECT("A"&amp;F77), 1, 0):OFFSET(OFFSET(INDIRECT("A"&amp;F77), 1, 0), 100, 0)&lt;&gt;0,),0))</f>
        <v>1929</v>
      </c>
      <c r="G78" s="1" t="str" cm="1">
        <f t="array" aca="1" ref="G78" ca="1">INDIRECT("B"&amp;$F78)</f>
        <v>SN</v>
      </c>
      <c r="H78" s="3" t="str" cm="1">
        <f t="array" aca="1" ref="H78" ca="1">_xlfn.IFS(COUNTIF($V$3:$V$18, G78)&lt;&gt;0, "S", COUNTIF($W$3:$W$99, G78)&lt;&gt;0, "E", COUNTIF($X$3, G78)&lt;&gt;0, "I", COUNTIF($Y$3:$Y$8, G78)&lt;&gt;0, "W")</f>
        <v>E</v>
      </c>
      <c r="I78" s="3">
        <f ca="1">SUMIF(OFFSET(INDIRECT("B"&amp;$F78), 4, 0):INDIRECT("B"&amp;$F79), "*"&amp;$I$2&amp;"*", OFFSET(INDIRECT("C"&amp;$F78), 4, 0):OFFSET(INDIRECT("C"&amp;$F79), -1, 0))</f>
        <v>993.15</v>
      </c>
      <c r="J78" s="3">
        <f ca="1">SUMIF(OFFSET(INDIRECT("B"&amp;$F78), 4, 0):INDIRECT("B"&amp;$F79), "*"&amp;$J$2&amp;"*", OFFSET(INDIRECT("C"&amp;$F78), 4, 0):OFFSET(INDIRECT("C"&amp;$F79), -1, 0))</f>
        <v>38.4</v>
      </c>
      <c r="K78" s="3">
        <f ca="1">SUMIF(OFFSET(INDIRECT("B"&amp;$F78), 4, 0):INDIRECT("B"&amp;$F79), "*"&amp;$K$2&amp;"*", OFFSET(INDIRECT("C"&amp;$F78), 4, 0):OFFSET(INDIRECT("C"&amp;$F79), -1, 0))</f>
        <v>0</v>
      </c>
      <c r="L78" s="3">
        <f ca="1">SUMIF(OFFSET(INDIRECT("B"&amp;$F78), 4, 0):INDIRECT("B"&amp;$F79), "*"&amp;$L$2&amp;"*", OFFSET(INDIRECT("C"&amp;$F78), 4, 0):OFFSET(INDIRECT("C"&amp;$F79), -1, 0))</f>
        <v>331.15</v>
      </c>
      <c r="M78" s="3">
        <f ca="1">SUMIF(OFFSET(INDIRECT("B"&amp;$F78), 4, 0):INDIRECT("B"&amp;$F79), "*"&amp;$M$2&amp;"*", OFFSET(INDIRECT("C"&amp;$F78), 4, 0):OFFSET(INDIRECT("C"&amp;$F79), -1, 0))</f>
        <v>140.80000000000001</v>
      </c>
      <c r="N78" s="3">
        <f ca="1">SUMIF(OFFSET(INDIRECT("B"&amp;$F78), 4, 0):INDIRECT("B"&amp;$F79), "*"&amp;$N$2&amp;"*", OFFSET(INDIRECT("C"&amp;$F78), 4, 0):OFFSET(INDIRECT("C"&amp;$F79), -1, 0))</f>
        <v>38.4</v>
      </c>
      <c r="O78" s="3">
        <f ca="1">SUMIF(OFFSET(INDIRECT("B"&amp;$F78), 4, 0):INDIRECT("B"&amp;$F79), "*"&amp;$O$2&amp;"*", OFFSET(INDIRECT("C"&amp;$F78), 4, 0):OFFSET(INDIRECT("C"&amp;$F79), -1, 0))</f>
        <v>0</v>
      </c>
      <c r="P78" s="3">
        <f ca="1">SUMIF(OFFSET(INDIRECT("B"&amp;$F78), 4, 0):INDIRECT("B"&amp;$F79), "*"&amp;$P$2&amp;"*", OFFSET(INDIRECT("C"&amp;$F78), 4, 0):OFFSET(INDIRECT("C"&amp;$F79), -1, 0))</f>
        <v>76.8</v>
      </c>
      <c r="Q78" s="3">
        <f t="shared" ca="1" si="3"/>
        <v>1618.6999999999998</v>
      </c>
      <c r="W78" s="1" t="s">
        <v>109</v>
      </c>
    </row>
    <row r="79" spans="1:23" x14ac:dyDescent="0.25">
      <c r="A79" s="1">
        <f t="shared" si="2"/>
        <v>0</v>
      </c>
      <c r="B79" s="1" t="s">
        <v>21</v>
      </c>
      <c r="C79" s="1">
        <v>602.79999999999995</v>
      </c>
      <c r="D79" s="1">
        <v>12</v>
      </c>
      <c r="F79" s="4" cm="1">
        <f t="array" aca="1" ref="F79" ca="1">INDEX(OFFSET(INDIRECT("A"&amp;F78), 1, 0):OFFSET(OFFSET(INDIRECT("A"&amp;F78), 1, 0), 100, 0),MATCH(TRUE,INDEX(OFFSET(INDIRECT("A"&amp;F78), 1, 0):OFFSET(OFFSET(INDIRECT("A"&amp;F78), 1, 0), 100, 0)&lt;&gt;0,),0))</f>
        <v>1953</v>
      </c>
      <c r="G79" s="1" t="str" cm="1">
        <f t="array" aca="1" ref="G79" ca="1">INDIRECT("B"&amp;$F79)</f>
        <v>SS</v>
      </c>
      <c r="H79" s="3" t="str" cm="1">
        <f t="array" aca="1" ref="H79" ca="1">_xlfn.IFS(COUNTIF($V$3:$V$18, G79)&lt;&gt;0, "S", COUNTIF($W$3:$W$99, G79)&lt;&gt;0, "E", COUNTIF($X$3, G79)&lt;&gt;0, "I", COUNTIF($Y$3:$Y$8, G79)&lt;&gt;0, "W")</f>
        <v>E</v>
      </c>
      <c r="I79" s="3">
        <f ca="1">SUMIF(OFFSET(INDIRECT("B"&amp;$F79), 4, 0):INDIRECT("B"&amp;$F80), "*"&amp;$I$2&amp;"*", OFFSET(INDIRECT("C"&amp;$F79), 4, 0):OFFSET(INDIRECT("C"&amp;$F80), -1, 0))</f>
        <v>797.2</v>
      </c>
      <c r="J79" s="3">
        <f ca="1">SUMIF(OFFSET(INDIRECT("B"&amp;$F79), 4, 0):INDIRECT("B"&amp;$F80), "*"&amp;$J$2&amp;"*", OFFSET(INDIRECT("C"&amp;$F79), 4, 0):OFFSET(INDIRECT("C"&amp;$F80), -1, 0))</f>
        <v>0</v>
      </c>
      <c r="K79" s="3">
        <f ca="1">SUMIF(OFFSET(INDIRECT("B"&amp;$F79), 4, 0):INDIRECT("B"&amp;$F80), "*"&amp;$K$2&amp;"*", OFFSET(INDIRECT("C"&amp;$F79), 4, 0):OFFSET(INDIRECT("C"&amp;$F80), -1, 0))</f>
        <v>0</v>
      </c>
      <c r="L79" s="3">
        <f ca="1">SUMIF(OFFSET(INDIRECT("B"&amp;$F79), 4, 0):INDIRECT("B"&amp;$F80), "*"&amp;$L$2&amp;"*", OFFSET(INDIRECT("C"&amp;$F79), 4, 0):OFFSET(INDIRECT("C"&amp;$F80), -1, 0))</f>
        <v>93.199999999999989</v>
      </c>
      <c r="M79" s="3">
        <f ca="1">SUMIF(OFFSET(INDIRECT("B"&amp;$F79), 4, 0):INDIRECT("B"&amp;$F80), "*"&amp;$M$2&amp;"*", OFFSET(INDIRECT("C"&amp;$F79), 4, 0):OFFSET(INDIRECT("C"&amp;$F80), -1, 0))</f>
        <v>0</v>
      </c>
      <c r="N79" s="3">
        <f ca="1">SUMIF(OFFSET(INDIRECT("B"&amp;$F79), 4, 0):INDIRECT("B"&amp;$F80), "*"&amp;$N$2&amp;"*", OFFSET(INDIRECT("C"&amp;$F79), 4, 0):OFFSET(INDIRECT("C"&amp;$F80), -1, 0))</f>
        <v>67.150000000000006</v>
      </c>
      <c r="O79" s="3">
        <f ca="1">SUMIF(OFFSET(INDIRECT("B"&amp;$F79), 4, 0):INDIRECT("B"&amp;$F80), "*"&amp;$O$2&amp;"*", OFFSET(INDIRECT("C"&amp;$F79), 4, 0):OFFSET(INDIRECT("C"&amp;$F80), -1, 0))</f>
        <v>38.4</v>
      </c>
      <c r="P79" s="3">
        <f ca="1">SUMIF(OFFSET(INDIRECT("B"&amp;$F79), 4, 0):INDIRECT("B"&amp;$F80), "*"&amp;$P$2&amp;"*", OFFSET(INDIRECT("C"&amp;$F79), 4, 0):OFFSET(INDIRECT("C"&amp;$F80), -1, 0))</f>
        <v>76.8</v>
      </c>
      <c r="Q79" s="3">
        <f t="shared" ca="1" si="3"/>
        <v>1072.75</v>
      </c>
      <c r="W79" s="1" t="s">
        <v>147</v>
      </c>
    </row>
    <row r="80" spans="1:23" x14ac:dyDescent="0.25">
      <c r="A80" s="1">
        <f t="shared" si="2"/>
        <v>0</v>
      </c>
      <c r="B80" s="1" t="s">
        <v>50</v>
      </c>
      <c r="C80" s="1">
        <v>42.5</v>
      </c>
      <c r="D80" s="1">
        <v>1</v>
      </c>
      <c r="F80" s="4" cm="1">
        <f t="array" aca="1" ref="F80" ca="1">INDEX(OFFSET(INDIRECT("A"&amp;F79), 1, 0):OFFSET(OFFSET(INDIRECT("A"&amp;F79), 1, 0), 100, 0),MATCH(TRUE,INDEX(OFFSET(INDIRECT("A"&amp;F79), 1, 0):OFFSET(OFFSET(INDIRECT("A"&amp;F79), 1, 0), 100, 0)&lt;&gt;0,),0))</f>
        <v>1971</v>
      </c>
      <c r="G80" s="1" t="str" cm="1">
        <f t="array" aca="1" ref="G80" ca="1">INDIRECT("B"&amp;$F80)</f>
        <v>AL</v>
      </c>
      <c r="H80" s="3" t="str" cm="1">
        <f t="array" aca="1" ref="H80" ca="1">_xlfn.IFS(COUNTIF($V$3:$V$18, G80)&lt;&gt;0, "S", COUNTIF($W$3:$W$99, G80)&lt;&gt;0, "E", COUNTIF($X$3, G80)&lt;&gt;0, "I", COUNTIF($Y$3:$Y$8, G80)&lt;&gt;0, "W")</f>
        <v>E</v>
      </c>
      <c r="I80" s="3">
        <f ca="1">SUMIF(OFFSET(INDIRECT("B"&amp;$F80), 4, 0):INDIRECT("B"&amp;$F81), "*"&amp;$I$2&amp;"*", OFFSET(INDIRECT("C"&amp;$F80), 4, 0):OFFSET(INDIRECT("C"&amp;$F81), -1, 0))</f>
        <v>424.34999999999997</v>
      </c>
      <c r="J80" s="3">
        <f ca="1">SUMIF(OFFSET(INDIRECT("B"&amp;$F80), 4, 0):INDIRECT("B"&amp;$F81), "*"&amp;$J$2&amp;"*", OFFSET(INDIRECT("C"&amp;$F80), 4, 0):OFFSET(INDIRECT("C"&amp;$F81), -1, 0))</f>
        <v>0</v>
      </c>
      <c r="K80" s="3">
        <f ca="1">SUMIF(OFFSET(INDIRECT("B"&amp;$F80), 4, 0):INDIRECT("B"&amp;$F81), "*"&amp;$K$2&amp;"*", OFFSET(INDIRECT("C"&amp;$F80), 4, 0):OFFSET(INDIRECT("C"&amp;$F81), -1, 0))</f>
        <v>0</v>
      </c>
      <c r="L80" s="3">
        <f ca="1">SUMIF(OFFSET(INDIRECT("B"&amp;$F80), 4, 0):INDIRECT("B"&amp;$F81), "*"&amp;$L$2&amp;"*", OFFSET(INDIRECT("C"&amp;$F80), 4, 0):OFFSET(INDIRECT("C"&amp;$F81), -1, 0))</f>
        <v>104.34</v>
      </c>
      <c r="M80" s="3">
        <f ca="1">SUMIF(OFFSET(INDIRECT("B"&amp;$F80), 4, 0):INDIRECT("B"&amp;$F81), "*"&amp;$M$2&amp;"*", OFFSET(INDIRECT("C"&amp;$F80), 4, 0):OFFSET(INDIRECT("C"&amp;$F81), -1, 0))</f>
        <v>0</v>
      </c>
      <c r="N80" s="3">
        <f ca="1">SUMIF(OFFSET(INDIRECT("B"&amp;$F80), 4, 0):INDIRECT("B"&amp;$F81), "*"&amp;$N$2&amp;"*", OFFSET(INDIRECT("C"&amp;$F80), 4, 0):OFFSET(INDIRECT("C"&amp;$F81), -1, 0))</f>
        <v>0</v>
      </c>
      <c r="O80" s="3">
        <f ca="1">SUMIF(OFFSET(INDIRECT("B"&amp;$F80), 4, 0):INDIRECT("B"&amp;$F81), "*"&amp;$O$2&amp;"*", OFFSET(INDIRECT("C"&amp;$F80), 4, 0):OFFSET(INDIRECT("C"&amp;$F81), -1, 0))</f>
        <v>0</v>
      </c>
      <c r="P80" s="3">
        <f ca="1">SUMIF(OFFSET(INDIRECT("B"&amp;$F80), 4, 0):INDIRECT("B"&amp;$F81), "*"&amp;$P$2&amp;"*", OFFSET(INDIRECT("C"&amp;$F80), 4, 0):OFFSET(INDIRECT("C"&amp;$F81), -1, 0))</f>
        <v>115.2</v>
      </c>
      <c r="Q80" s="3">
        <f t="shared" ca="1" si="3"/>
        <v>643.89</v>
      </c>
      <c r="W80" s="1" t="s">
        <v>134</v>
      </c>
    </row>
    <row r="81" spans="1:23" x14ac:dyDescent="0.25">
      <c r="A81" s="1">
        <f t="shared" si="2"/>
        <v>0</v>
      </c>
      <c r="B81" s="1" t="s">
        <v>40</v>
      </c>
      <c r="C81" s="1">
        <v>328.8</v>
      </c>
      <c r="D81" s="1">
        <v>7</v>
      </c>
      <c r="F81" s="4" cm="1">
        <f t="array" aca="1" ref="F81" ca="1">INDEX(OFFSET(INDIRECT("A"&amp;F80), 1, 0):OFFSET(OFFSET(INDIRECT("A"&amp;F80), 1, 0), 100, 0),MATCH(TRUE,INDEX(OFFSET(INDIRECT("A"&amp;F80), 1, 0):OFFSET(OFFSET(INDIRECT("A"&amp;F80), 1, 0), 100, 0)&lt;&gt;0,),0))</f>
        <v>1985</v>
      </c>
      <c r="G81" s="1" t="str" cm="1">
        <f t="array" aca="1" ref="G81" ca="1">INDIRECT("B"&amp;$F81)</f>
        <v>CO</v>
      </c>
      <c r="H81" s="3" t="str" cm="1">
        <f t="array" aca="1" ref="H81" ca="1">_xlfn.IFS(COUNTIF($V$3:$V$18, G81)&lt;&gt;0, "S", COUNTIF($W$3:$W$99, G81)&lt;&gt;0, "E", COUNTIF($X$3, G81)&lt;&gt;0, "I", COUNTIF($Y$3:$Y$8, G81)&lt;&gt;0, "W")</f>
        <v>E</v>
      </c>
      <c r="I81" s="3">
        <f ca="1">SUMIF(OFFSET(INDIRECT("B"&amp;$F81), 4, 0):INDIRECT("B"&amp;$F82), "*"&amp;$I$2&amp;"*", OFFSET(INDIRECT("C"&amp;$F81), 4, 0):OFFSET(INDIRECT("C"&amp;$F82), -1, 0))</f>
        <v>1132.3500000000001</v>
      </c>
      <c r="J81" s="3">
        <f ca="1">SUMIF(OFFSET(INDIRECT("B"&amp;$F81), 4, 0):INDIRECT("B"&amp;$F82), "*"&amp;$J$2&amp;"*", OFFSET(INDIRECT("C"&amp;$F81), 4, 0):OFFSET(INDIRECT("C"&amp;$F82), -1, 0))</f>
        <v>38.4</v>
      </c>
      <c r="K81" s="3">
        <f ca="1">SUMIF(OFFSET(INDIRECT("B"&amp;$F81), 4, 0):INDIRECT("B"&amp;$F82), "*"&amp;$K$2&amp;"*", OFFSET(INDIRECT("C"&amp;$F81), 4, 0):OFFSET(INDIRECT("C"&amp;$F82), -1, 0))</f>
        <v>0</v>
      </c>
      <c r="L81" s="3">
        <f ca="1">SUMIF(OFFSET(INDIRECT("B"&amp;$F81), 4, 0):INDIRECT("B"&amp;$F82), "*"&amp;$L$2&amp;"*", OFFSET(INDIRECT("C"&amp;$F81), 4, 0):OFFSET(INDIRECT("C"&amp;$F82), -1, 0))</f>
        <v>313.14999999999998</v>
      </c>
      <c r="M81" s="3">
        <f ca="1">SUMIF(OFFSET(INDIRECT("B"&amp;$F81), 4, 0):INDIRECT("B"&amp;$F82), "*"&amp;$M$2&amp;"*", OFFSET(INDIRECT("C"&amp;$F81), 4, 0):OFFSET(INDIRECT("C"&amp;$F82), -1, 0))</f>
        <v>140.80000000000001</v>
      </c>
      <c r="N81" s="3">
        <f ca="1">SUMIF(OFFSET(INDIRECT("B"&amp;$F81), 4, 0):INDIRECT("B"&amp;$F82), "*"&amp;$N$2&amp;"*", OFFSET(INDIRECT("C"&amp;$F81), 4, 0):OFFSET(INDIRECT("C"&amp;$F82), -1, 0))</f>
        <v>105.55000000000001</v>
      </c>
      <c r="O81" s="3">
        <f ca="1">SUMIF(OFFSET(INDIRECT("B"&amp;$F81), 4, 0):INDIRECT("B"&amp;$F82), "*"&amp;$O$2&amp;"*", OFFSET(INDIRECT("C"&amp;$F81), 4, 0):OFFSET(INDIRECT("C"&amp;$F82), -1, 0))</f>
        <v>0</v>
      </c>
      <c r="P81" s="3">
        <f ca="1">SUMIF(OFFSET(INDIRECT("B"&amp;$F81), 4, 0):INDIRECT("B"&amp;$F82), "*"&amp;$P$2&amp;"*", OFFSET(INDIRECT("C"&amp;$F81), 4, 0):OFFSET(INDIRECT("C"&amp;$F82), -1, 0))</f>
        <v>93.199999999999989</v>
      </c>
      <c r="Q81" s="3">
        <f t="shared" ca="1" si="3"/>
        <v>1823.45</v>
      </c>
      <c r="W81" s="1" t="s">
        <v>123</v>
      </c>
    </row>
    <row r="82" spans="1:23" x14ac:dyDescent="0.25">
      <c r="A82" s="1">
        <f t="shared" si="2"/>
        <v>0</v>
      </c>
      <c r="B82" s="1" t="s">
        <v>18</v>
      </c>
      <c r="C82" s="1">
        <v>614.4</v>
      </c>
      <c r="D82" s="1">
        <v>16</v>
      </c>
      <c r="F82" s="4" cm="1">
        <f t="array" aca="1" ref="F82" ca="1">INDEX(OFFSET(INDIRECT("A"&amp;F81), 1, 0):OFFSET(OFFSET(INDIRECT("A"&amp;F81), 1, 0), 100, 0),MATCH(TRUE,INDEX(OFFSET(INDIRECT("A"&amp;F81), 1, 0):OFFSET(OFFSET(INDIRECT("A"&amp;F81), 1, 0), 100, 0)&lt;&gt;0,),0))</f>
        <v>2010</v>
      </c>
      <c r="G82" s="1" t="str" cm="1">
        <f t="array" aca="1" ref="G82" ca="1">INDIRECT("B"&amp;$F82)</f>
        <v>EN</v>
      </c>
      <c r="H82" s="3" t="str" cm="1">
        <f t="array" aca="1" ref="H82" ca="1">_xlfn.IFS(COUNTIF($V$3:$V$18, G82)&lt;&gt;0, "S", COUNTIF($W$3:$W$99, G82)&lt;&gt;0, "E", COUNTIF($X$3, G82)&lt;&gt;0, "I", COUNTIF($Y$3:$Y$8, G82)&lt;&gt;0, "W")</f>
        <v>E</v>
      </c>
      <c r="I82" s="3">
        <f ca="1">SUMIF(OFFSET(INDIRECT("B"&amp;$F82), 4, 0):INDIRECT("B"&amp;$F83), "*"&amp;$I$2&amp;"*", OFFSET(INDIRECT("C"&amp;$F82), 4, 0):OFFSET(INDIRECT("C"&amp;$F83), -1, 0))</f>
        <v>155.19999999999999</v>
      </c>
      <c r="J82" s="3">
        <f ca="1">SUMIF(OFFSET(INDIRECT("B"&amp;$F82), 4, 0):INDIRECT("B"&amp;$F83), "*"&amp;$J$2&amp;"*", OFFSET(INDIRECT("C"&amp;$F82), 4, 0):OFFSET(INDIRECT("C"&amp;$F83), -1, 0))</f>
        <v>0</v>
      </c>
      <c r="K82" s="3">
        <f ca="1">SUMIF(OFFSET(INDIRECT("B"&amp;$F82), 4, 0):INDIRECT("B"&amp;$F83), "*"&amp;$K$2&amp;"*", OFFSET(INDIRECT("C"&amp;$F82), 4, 0):OFFSET(INDIRECT("C"&amp;$F83), -1, 0))</f>
        <v>40</v>
      </c>
      <c r="L82" s="3">
        <f ca="1">SUMIF(OFFSET(INDIRECT("B"&amp;$F82), 4, 0):INDIRECT("B"&amp;$F83), "*"&amp;$L$2&amp;"*", OFFSET(INDIRECT("C"&amp;$F82), 4, 0):OFFSET(INDIRECT("C"&amp;$F83), -1, 0))</f>
        <v>0</v>
      </c>
      <c r="M82" s="3">
        <f ca="1">SUMIF(OFFSET(INDIRECT("B"&amp;$F82), 4, 0):INDIRECT("B"&amp;$F83), "*"&amp;$M$2&amp;"*", OFFSET(INDIRECT("C"&amp;$F82), 4, 0):OFFSET(INDIRECT("C"&amp;$F83), -1, 0))</f>
        <v>0</v>
      </c>
      <c r="N82" s="3">
        <f ca="1">SUMIF(OFFSET(INDIRECT("B"&amp;$F82), 4, 0):INDIRECT("B"&amp;$F83), "*"&amp;$N$2&amp;"*", OFFSET(INDIRECT("C"&amp;$F82), 4, 0):OFFSET(INDIRECT("C"&amp;$F83), -1, 0))</f>
        <v>0</v>
      </c>
      <c r="O82" s="3">
        <f ca="1">SUMIF(OFFSET(INDIRECT("B"&amp;$F82), 4, 0):INDIRECT("B"&amp;$F83), "*"&amp;$O$2&amp;"*", OFFSET(INDIRECT("C"&amp;$F82), 4, 0):OFFSET(INDIRECT("C"&amp;$F83), -1, 0))</f>
        <v>0</v>
      </c>
      <c r="P82" s="3">
        <f ca="1">SUMIF(OFFSET(INDIRECT("B"&amp;$F82), 4, 0):INDIRECT("B"&amp;$F83), "*"&amp;$P$2&amp;"*", OFFSET(INDIRECT("C"&amp;$F82), 4, 0):OFFSET(INDIRECT("C"&amp;$F83), -1, 0))</f>
        <v>176.75</v>
      </c>
      <c r="Q82" s="3">
        <f t="shared" ca="1" si="3"/>
        <v>371.95</v>
      </c>
      <c r="W82" s="1" t="s">
        <v>98</v>
      </c>
    </row>
    <row r="83" spans="1:23" x14ac:dyDescent="0.25">
      <c r="A83" s="1">
        <f t="shared" si="2"/>
        <v>0</v>
      </c>
      <c r="B83" s="1" t="s">
        <v>51</v>
      </c>
      <c r="C83" s="1">
        <v>38.4</v>
      </c>
      <c r="D83" s="1">
        <v>1</v>
      </c>
      <c r="F83" s="4" cm="1">
        <f t="array" aca="1" ref="F83" ca="1">INDEX(OFFSET(INDIRECT("A"&amp;F82), 1, 0):OFFSET(OFFSET(INDIRECT("A"&amp;F82), 1, 0), 100, 0),MATCH(TRUE,INDEX(OFFSET(INDIRECT("A"&amp;F82), 1, 0):OFFSET(OFFSET(INDIRECT("A"&amp;F82), 1, 0), 100, 0)&lt;&gt;0,),0))</f>
        <v>2021</v>
      </c>
      <c r="G83" s="1" t="str" cm="1">
        <f t="array" aca="1" ref="G83" ca="1">INDIRECT("B"&amp;$F83)</f>
        <v>DL</v>
      </c>
      <c r="H83" s="3" t="str" cm="1">
        <f t="array" aca="1" ref="H83" ca="1">_xlfn.IFS(COUNTIF($V$3:$V$18, G83)&lt;&gt;0, "S", COUNTIF($W$3:$W$99, G83)&lt;&gt;0, "E", COUNTIF($X$3, G83)&lt;&gt;0, "I", COUNTIF($Y$3:$Y$8, G83)&lt;&gt;0, "W")</f>
        <v>E</v>
      </c>
      <c r="I83" s="3">
        <f ca="1">SUMIF(OFFSET(INDIRECT("B"&amp;$F83), 4, 0):INDIRECT("B"&amp;$F84), "*"&amp;$I$2&amp;"*", OFFSET(INDIRECT("C"&amp;$F83), 4, 0):OFFSET(INDIRECT("C"&amp;$F84), -1, 0))</f>
        <v>530.79999999999995</v>
      </c>
      <c r="J83" s="3">
        <f ca="1">SUMIF(OFFSET(INDIRECT("B"&amp;$F83), 4, 0):INDIRECT("B"&amp;$F84), "*"&amp;$J$2&amp;"*", OFFSET(INDIRECT("C"&amp;$F83), 4, 0):OFFSET(INDIRECT("C"&amp;$F84), -1, 0))</f>
        <v>0</v>
      </c>
      <c r="K83" s="3">
        <f ca="1">SUMIF(OFFSET(INDIRECT("B"&amp;$F83), 4, 0):INDIRECT("B"&amp;$F84), "*"&amp;$K$2&amp;"*", OFFSET(INDIRECT("C"&amp;$F83), 4, 0):OFFSET(INDIRECT("C"&amp;$F84), -1, 0))</f>
        <v>76.8</v>
      </c>
      <c r="L83" s="3">
        <f ca="1">SUMIF(OFFSET(INDIRECT("B"&amp;$F83), 4, 0):INDIRECT("B"&amp;$F84), "*"&amp;$L$2&amp;"*", OFFSET(INDIRECT("C"&amp;$F83), 4, 0):OFFSET(INDIRECT("C"&amp;$F84), -1, 0))</f>
        <v>148</v>
      </c>
      <c r="M83" s="3">
        <f ca="1">SUMIF(OFFSET(INDIRECT("B"&amp;$F83), 4, 0):INDIRECT("B"&amp;$F84), "*"&amp;$M$2&amp;"*", OFFSET(INDIRECT("C"&amp;$F83), 4, 0):OFFSET(INDIRECT("C"&amp;$F84), -1, 0))</f>
        <v>157.19999999999999</v>
      </c>
      <c r="N83" s="3">
        <f ca="1">SUMIF(OFFSET(INDIRECT("B"&amp;$F83), 4, 0):INDIRECT("B"&amp;$F84), "*"&amp;$N$2&amp;"*", OFFSET(INDIRECT("C"&amp;$F83), 4, 0):OFFSET(INDIRECT("C"&amp;$F84), -1, 0))</f>
        <v>28.75</v>
      </c>
      <c r="O83" s="3">
        <f ca="1">SUMIF(OFFSET(INDIRECT("B"&amp;$F83), 4, 0):INDIRECT("B"&amp;$F84), "*"&amp;$O$2&amp;"*", OFFSET(INDIRECT("C"&amp;$F83), 4, 0):OFFSET(INDIRECT("C"&amp;$F84), -1, 0))</f>
        <v>76.8</v>
      </c>
      <c r="P83" s="3">
        <f ca="1">SUMIF(OFFSET(INDIRECT("B"&amp;$F83), 4, 0):INDIRECT("B"&amp;$F84), "*"&amp;$P$2&amp;"*", OFFSET(INDIRECT("C"&amp;$F83), 4, 0):OFFSET(INDIRECT("C"&amp;$F84), -1, 0))</f>
        <v>500.35</v>
      </c>
      <c r="Q83" s="3">
        <f t="shared" ca="1" si="3"/>
        <v>1518.6999999999998</v>
      </c>
      <c r="W83" s="1" t="s">
        <v>165</v>
      </c>
    </row>
    <row r="84" spans="1:23" x14ac:dyDescent="0.25">
      <c r="A84" s="1">
        <f t="shared" si="2"/>
        <v>0</v>
      </c>
      <c r="B84" s="1" t="s">
        <v>22</v>
      </c>
      <c r="C84" s="1">
        <v>54.8</v>
      </c>
      <c r="D84" s="1">
        <v>1</v>
      </c>
      <c r="F84" s="4" cm="1">
        <f t="array" aca="1" ref="F84" ca="1">INDEX(OFFSET(INDIRECT("A"&amp;F83), 1, 0):OFFSET(OFFSET(INDIRECT("A"&amp;F83), 1, 0), 100, 0),MATCH(TRUE,INDEX(OFFSET(INDIRECT("A"&amp;F83), 1, 0):OFFSET(OFFSET(INDIRECT("A"&amp;F83), 1, 0), 100, 0)&lt;&gt;0,),0))</f>
        <v>2046</v>
      </c>
      <c r="G84" s="1" t="str" cm="1">
        <f t="array" aca="1" ref="G84" ca="1">INDIRECT("B"&amp;$F84)</f>
        <v>BL</v>
      </c>
      <c r="H84" s="3" t="str" cm="1">
        <f t="array" aca="1" ref="H84" ca="1">_xlfn.IFS(COUNTIF($V$3:$V$18, G84)&lt;&gt;0, "S", COUNTIF($W$3:$W$99, G84)&lt;&gt;0, "E", COUNTIF($X$3, G84)&lt;&gt;0, "I", COUNTIF($Y$3:$Y$8, G84)&lt;&gt;0, "W")</f>
        <v>E</v>
      </c>
      <c r="I84" s="3">
        <f ca="1">SUMIF(OFFSET(INDIRECT("B"&amp;$F84), 4, 0):INDIRECT("B"&amp;$F85), "*"&amp;$I$2&amp;"*", OFFSET(INDIRECT("C"&amp;$F84), 4, 0):OFFSET(INDIRECT("C"&amp;$F85), -1, 0))</f>
        <v>494</v>
      </c>
      <c r="J84" s="3">
        <f ca="1">SUMIF(OFFSET(INDIRECT("B"&amp;$F84), 4, 0):INDIRECT("B"&amp;$F85), "*"&amp;$J$2&amp;"*", OFFSET(INDIRECT("C"&amp;$F84), 4, 0):OFFSET(INDIRECT("C"&amp;$F85), -1, 0))</f>
        <v>208.39999999999998</v>
      </c>
      <c r="K84" s="3">
        <f ca="1">SUMIF(OFFSET(INDIRECT("B"&amp;$F84), 4, 0):INDIRECT("B"&amp;$F85), "*"&amp;$K$2&amp;"*", OFFSET(INDIRECT("C"&amp;$F84), 4, 0):OFFSET(INDIRECT("C"&amp;$F85), -1, 0))</f>
        <v>0</v>
      </c>
      <c r="L84" s="3">
        <f ca="1">SUMIF(OFFSET(INDIRECT("B"&amp;$F84), 4, 0):INDIRECT("B"&amp;$F85), "*"&amp;$L$2&amp;"*", OFFSET(INDIRECT("C"&amp;$F84), 4, 0):OFFSET(INDIRECT("C"&amp;$F85), -1, 0))</f>
        <v>15.99</v>
      </c>
      <c r="M84" s="3">
        <f ca="1">SUMIF(OFFSET(INDIRECT("B"&amp;$F84), 4, 0):INDIRECT("B"&amp;$F85), "*"&amp;$M$2&amp;"*", OFFSET(INDIRECT("C"&amp;$F84), 4, 0):OFFSET(INDIRECT("C"&amp;$F85), -1, 0))</f>
        <v>38.4</v>
      </c>
      <c r="N84" s="3">
        <f ca="1">SUMIF(OFFSET(INDIRECT("B"&amp;$F84), 4, 0):INDIRECT("B"&amp;$F85), "*"&amp;$N$2&amp;"*", OFFSET(INDIRECT("C"&amp;$F84), 4, 0):OFFSET(INDIRECT("C"&amp;$F85), -1, 0))</f>
        <v>0</v>
      </c>
      <c r="O84" s="3">
        <f ca="1">SUMIF(OFFSET(INDIRECT("B"&amp;$F84), 4, 0):INDIRECT("B"&amp;$F85), "*"&amp;$O$2&amp;"*", OFFSET(INDIRECT("C"&amp;$F84), 4, 0):OFFSET(INDIRECT("C"&amp;$F85), -1, 0))</f>
        <v>0</v>
      </c>
      <c r="P84" s="3">
        <f ca="1">SUMIF(OFFSET(INDIRECT("B"&amp;$F84), 4, 0):INDIRECT("B"&amp;$F85), "*"&amp;$P$2&amp;"*", OFFSET(INDIRECT("C"&amp;$F84), 4, 0):OFFSET(INDIRECT("C"&amp;$F85), -1, 0))</f>
        <v>67.150000000000006</v>
      </c>
      <c r="Q84" s="3">
        <f t="shared" ca="1" si="3"/>
        <v>823.93999999999994</v>
      </c>
      <c r="W84" s="1" t="s">
        <v>121</v>
      </c>
    </row>
    <row r="85" spans="1:23" x14ac:dyDescent="0.25">
      <c r="A85" s="1">
        <f t="shared" si="2"/>
        <v>0</v>
      </c>
      <c r="B85" s="1" t="s">
        <v>6</v>
      </c>
      <c r="C85" s="1">
        <v>109.6</v>
      </c>
      <c r="D85" s="1">
        <v>2</v>
      </c>
      <c r="F85" s="4" cm="1">
        <f t="array" aca="1" ref="F85" ca="1">INDEX(OFFSET(INDIRECT("A"&amp;F84), 1, 0):OFFSET(OFFSET(INDIRECT("A"&amp;F84), 1, 0), 100, 0),MATCH(TRUE,INDEX(OFFSET(INDIRECT("A"&amp;F84), 1, 0):OFFSET(OFFSET(INDIRECT("A"&amp;F84), 1, 0), 100, 0)&lt;&gt;0,),0))</f>
        <v>2065</v>
      </c>
      <c r="G85" s="1" t="str" cm="1">
        <f t="array" aca="1" ref="G85" ca="1">INDIRECT("B"&amp;$F85)</f>
        <v>DD</v>
      </c>
      <c r="H85" s="3" t="str" cm="1">
        <f t="array" aca="1" ref="H85" ca="1">_xlfn.IFS(COUNTIF($V$3:$V$18, G85)&lt;&gt;0, "S", COUNTIF($W$3:$W$99, G85)&lt;&gt;0, "E", COUNTIF($X$3, G85)&lt;&gt;0, "I", COUNTIF($Y$3:$Y$8, G85)&lt;&gt;0, "W")</f>
        <v>S</v>
      </c>
      <c r="I85" s="3">
        <f ca="1">SUMIF(OFFSET(INDIRECT("B"&amp;$F85), 4, 0):INDIRECT("B"&amp;$F86), "*"&amp;$I$2&amp;"*", OFFSET(INDIRECT("C"&amp;$F85), 4, 0):OFFSET(INDIRECT("C"&amp;$F86), -1, 0))</f>
        <v>1193.5999999999999</v>
      </c>
      <c r="J85" s="3">
        <f ca="1">SUMIF(OFFSET(INDIRECT("B"&amp;$F85), 4, 0):INDIRECT("B"&amp;$F86), "*"&amp;$J$2&amp;"*", OFFSET(INDIRECT("C"&amp;$F85), 4, 0):OFFSET(INDIRECT("C"&amp;$F86), -1, 0))</f>
        <v>257.59999999999997</v>
      </c>
      <c r="K85" s="3">
        <f ca="1">SUMIF(OFFSET(INDIRECT("B"&amp;$F85), 4, 0):INDIRECT("B"&amp;$F86), "*"&amp;$K$2&amp;"*", OFFSET(INDIRECT("C"&amp;$F85), 4, 0):OFFSET(INDIRECT("C"&amp;$F86), -1, 0))</f>
        <v>93.199999999999989</v>
      </c>
      <c r="L85" s="3">
        <f ca="1">SUMIF(OFFSET(INDIRECT("B"&amp;$F85), 4, 0):INDIRECT("B"&amp;$F86), "*"&amp;$L$2&amp;"*", OFFSET(INDIRECT("C"&amp;$F85), 4, 0):OFFSET(INDIRECT("C"&amp;$F86), -1, 0))</f>
        <v>336.78</v>
      </c>
      <c r="M85" s="3">
        <f ca="1">SUMIF(OFFSET(INDIRECT("B"&amp;$F85), 4, 0):INDIRECT("B"&amp;$F86), "*"&amp;$M$2&amp;"*", OFFSET(INDIRECT("C"&amp;$F85), 4, 0):OFFSET(INDIRECT("C"&amp;$F86), -1, 0))</f>
        <v>217.6</v>
      </c>
      <c r="N85" s="3">
        <f ca="1">SUMIF(OFFSET(INDIRECT("B"&amp;$F85), 4, 0):INDIRECT("B"&amp;$F86), "*"&amp;$N$2&amp;"*", OFFSET(INDIRECT("C"&amp;$F85), 4, 0):OFFSET(INDIRECT("C"&amp;$F86), -1, 0))</f>
        <v>290.81</v>
      </c>
      <c r="O85" s="3">
        <f ca="1">SUMIF(OFFSET(INDIRECT("B"&amp;$F85), 4, 0):INDIRECT("B"&amp;$F86), "*"&amp;$O$2&amp;"*", OFFSET(INDIRECT("C"&amp;$F85), 4, 0):OFFSET(INDIRECT("C"&amp;$F86), -1, 0))</f>
        <v>0</v>
      </c>
      <c r="P85" s="3">
        <f ca="1">SUMIF(OFFSET(INDIRECT("B"&amp;$F85), 4, 0):INDIRECT("B"&amp;$F86), "*"&amp;$P$2&amp;"*", OFFSET(INDIRECT("C"&amp;$F85), 4, 0):OFFSET(INDIRECT("C"&amp;$F86), -1, 0))</f>
        <v>646.75</v>
      </c>
      <c r="Q85" s="3">
        <f t="shared" ca="1" si="3"/>
        <v>3036.3399999999997</v>
      </c>
      <c r="W85" s="1" t="s">
        <v>170</v>
      </c>
    </row>
    <row r="86" spans="1:23" x14ac:dyDescent="0.25">
      <c r="A86" s="1">
        <f t="shared" si="2"/>
        <v>0</v>
      </c>
      <c r="B86" s="1" t="s">
        <v>7</v>
      </c>
      <c r="C86" s="1">
        <v>164.4</v>
      </c>
      <c r="D86" s="1">
        <v>3</v>
      </c>
      <c r="F86" s="4" cm="1">
        <f t="array" aca="1" ref="F86" ca="1">INDEX(OFFSET(INDIRECT("A"&amp;F85), 1, 0):OFFSET(OFFSET(INDIRECT("A"&amp;F85), 1, 0), 100, 0),MATCH(TRUE,INDEX(OFFSET(INDIRECT("A"&amp;F85), 1, 0):OFFSET(OFFSET(INDIRECT("A"&amp;F85), 1, 0), 100, 0)&lt;&gt;0,),0))</f>
        <v>2101</v>
      </c>
      <c r="G86" s="1" t="str" cm="1">
        <f t="array" aca="1" ref="G86" ca="1">INDIRECT("B"&amp;$F86)</f>
        <v>CM</v>
      </c>
      <c r="H86" s="3" t="str" cm="1">
        <f t="array" aca="1" ref="H86" ca="1">_xlfn.IFS(COUNTIF($V$3:$V$18, G86)&lt;&gt;0, "S", COUNTIF($W$3:$W$99, G86)&lt;&gt;0, "E", COUNTIF($X$3, G86)&lt;&gt;0, "I", COUNTIF($Y$3:$Y$8, G86)&lt;&gt;0, "W")</f>
        <v>E</v>
      </c>
      <c r="I86" s="3">
        <f ca="1">SUMIF(OFFSET(INDIRECT("B"&amp;$F86), 4, 0):INDIRECT("B"&amp;$F87), "*"&amp;$I$2&amp;"*", OFFSET(INDIRECT("C"&amp;$F86), 4, 0):OFFSET(INDIRECT("C"&amp;$F87), -1, 0))</f>
        <v>814.40000000000009</v>
      </c>
      <c r="J86" s="3">
        <f ca="1">SUMIF(OFFSET(INDIRECT("B"&amp;$F86), 4, 0):INDIRECT("B"&amp;$F87), "*"&amp;$J$2&amp;"*", OFFSET(INDIRECT("C"&amp;$F86), 4, 0):OFFSET(INDIRECT("C"&amp;$F87), -1, 0))</f>
        <v>38.4</v>
      </c>
      <c r="K86" s="3">
        <f ca="1">SUMIF(OFFSET(INDIRECT("B"&amp;$F86), 4, 0):INDIRECT("B"&amp;$F87), "*"&amp;$K$2&amp;"*", OFFSET(INDIRECT("C"&amp;$F86), 4, 0):OFFSET(INDIRECT("C"&amp;$F87), -1, 0))</f>
        <v>38.4</v>
      </c>
      <c r="L86" s="3">
        <f ca="1">SUMIF(OFFSET(INDIRECT("B"&amp;$F86), 4, 0):INDIRECT("B"&amp;$F87), "*"&amp;$L$2&amp;"*", OFFSET(INDIRECT("C"&amp;$F86), 4, 0):OFFSET(INDIRECT("C"&amp;$F87), -1, 0))</f>
        <v>220.7</v>
      </c>
      <c r="M86" s="3">
        <f ca="1">SUMIF(OFFSET(INDIRECT("B"&amp;$F86), 4, 0):INDIRECT("B"&amp;$F87), "*"&amp;$M$2&amp;"*", OFFSET(INDIRECT("C"&amp;$F86), 4, 0):OFFSET(INDIRECT("C"&amp;$F87), -1, 0))</f>
        <v>186.4</v>
      </c>
      <c r="N86" s="3">
        <f ca="1">SUMIF(OFFSET(INDIRECT("B"&amp;$F86), 4, 0):INDIRECT("B"&amp;$F87), "*"&amp;$N$2&amp;"*", OFFSET(INDIRECT("C"&amp;$F86), 4, 0):OFFSET(INDIRECT("C"&amp;$F87), -1, 0))</f>
        <v>0</v>
      </c>
      <c r="O86" s="3">
        <f ca="1">SUMIF(OFFSET(INDIRECT("B"&amp;$F86), 4, 0):INDIRECT("B"&amp;$F87), "*"&amp;$O$2&amp;"*", OFFSET(INDIRECT("C"&amp;$F86), 4, 0):OFFSET(INDIRECT("C"&amp;$F87), -1, 0))</f>
        <v>0</v>
      </c>
      <c r="P86" s="3">
        <f ca="1">SUMIF(OFFSET(INDIRECT("B"&amp;$F86), 4, 0):INDIRECT("B"&amp;$F87), "*"&amp;$P$2&amp;"*", OFFSET(INDIRECT("C"&amp;$F86), 4, 0):OFFSET(INDIRECT("C"&amp;$F87), -1, 0))</f>
        <v>116.8</v>
      </c>
      <c r="Q86" s="3">
        <f t="shared" ca="1" si="3"/>
        <v>1415.1000000000001</v>
      </c>
      <c r="W86" s="1" t="s">
        <v>173</v>
      </c>
    </row>
    <row r="87" spans="1:23" x14ac:dyDescent="0.25">
      <c r="A87" s="1">
        <f t="shared" si="2"/>
        <v>0</v>
      </c>
      <c r="B87" s="1" t="s">
        <v>12</v>
      </c>
      <c r="C87" s="1">
        <v>420</v>
      </c>
      <c r="D87" s="1">
        <v>12</v>
      </c>
      <c r="F87" s="4" cm="1">
        <f t="array" aca="1" ref="F87" ca="1">INDEX(OFFSET(INDIRECT("A"&amp;F86), 1, 0):OFFSET(OFFSET(INDIRECT("A"&amp;F86), 1, 0), 100, 0),MATCH(TRUE,INDEX(OFFSET(INDIRECT("A"&amp;F86), 1, 0):OFFSET(OFFSET(INDIRECT("A"&amp;F86), 1, 0), 100, 0)&lt;&gt;0,),0))</f>
        <v>2127</v>
      </c>
      <c r="G87" s="1" t="str" cm="1">
        <f t="array" aca="1" ref="G87" ca="1">INDIRECT("B"&amp;$F87)</f>
        <v>M</v>
      </c>
      <c r="H87" s="3" t="str" cm="1">
        <f t="array" aca="1" ref="H87" ca="1">_xlfn.IFS(COUNTIF($V$3:$V$18, G87)&lt;&gt;0, "S", COUNTIF($W$3:$W$99, G87)&lt;&gt;0, "E", COUNTIF($X$3, G87)&lt;&gt;0, "I", COUNTIF($Y$3:$Y$8, G87)&lt;&gt;0, "W")</f>
        <v>E</v>
      </c>
      <c r="I87" s="3">
        <f ca="1">SUMIF(OFFSET(INDIRECT("B"&amp;$F87), 4, 0):INDIRECT("B"&amp;$F88), "*"&amp;$I$2&amp;"*", OFFSET(INDIRECT("C"&amp;$F87), 4, 0):OFFSET(INDIRECT("C"&amp;$F88), -1, 0))</f>
        <v>806</v>
      </c>
      <c r="J87" s="3">
        <f ca="1">SUMIF(OFFSET(INDIRECT("B"&amp;$F87), 4, 0):INDIRECT("B"&amp;$F88), "*"&amp;$J$2&amp;"*", OFFSET(INDIRECT("C"&amp;$F87), 4, 0):OFFSET(INDIRECT("C"&amp;$F88), -1, 0))</f>
        <v>0</v>
      </c>
      <c r="K87" s="3">
        <f ca="1">SUMIF(OFFSET(INDIRECT("B"&amp;$F87), 4, 0):INDIRECT("B"&amp;$F88), "*"&amp;$K$2&amp;"*", OFFSET(INDIRECT("C"&amp;$F87), 4, 0):OFFSET(INDIRECT("C"&amp;$F88), -1, 0))</f>
        <v>94.8</v>
      </c>
      <c r="L87" s="3">
        <f ca="1">SUMIF(OFFSET(INDIRECT("B"&amp;$F87), 4, 0):INDIRECT("B"&amp;$F88), "*"&amp;$L$2&amp;"*", OFFSET(INDIRECT("C"&amp;$F87), 4, 0):OFFSET(INDIRECT("C"&amp;$F88), -1, 0))</f>
        <v>54.8</v>
      </c>
      <c r="M87" s="3">
        <f ca="1">SUMIF(OFFSET(INDIRECT("B"&amp;$F87), 4, 0):INDIRECT("B"&amp;$F88), "*"&amp;$M$2&amp;"*", OFFSET(INDIRECT("C"&amp;$F87), 4, 0):OFFSET(INDIRECT("C"&amp;$F88), -1, 0))</f>
        <v>76.8</v>
      </c>
      <c r="N87" s="3">
        <f ca="1">SUMIF(OFFSET(INDIRECT("B"&amp;$F87), 4, 0):INDIRECT("B"&amp;$F88), "*"&amp;$N$2&amp;"*", OFFSET(INDIRECT("C"&amp;$F87), 4, 0):OFFSET(INDIRECT("C"&amp;$F88), -1, 0))</f>
        <v>115</v>
      </c>
      <c r="O87" s="3">
        <f ca="1">SUMIF(OFFSET(INDIRECT("B"&amp;$F87), 4, 0):INDIRECT("B"&amp;$F88), "*"&amp;$O$2&amp;"*", OFFSET(INDIRECT("C"&amp;$F87), 4, 0):OFFSET(INDIRECT("C"&amp;$F88), -1, 0))</f>
        <v>0</v>
      </c>
      <c r="P87" s="3">
        <f ca="1">SUMIF(OFFSET(INDIRECT("B"&amp;$F87), 4, 0):INDIRECT("B"&amp;$F88), "*"&amp;$P$2&amp;"*", OFFSET(INDIRECT("C"&amp;$F87), 4, 0):OFFSET(INDIRECT("C"&amp;$F88), -1, 0))</f>
        <v>294.39999999999998</v>
      </c>
      <c r="Q87" s="3">
        <f t="shared" ca="1" si="3"/>
        <v>1441.7999999999997</v>
      </c>
      <c r="W87" s="1" t="s">
        <v>162</v>
      </c>
    </row>
    <row r="88" spans="1:23" x14ac:dyDescent="0.25">
      <c r="A88" s="1">
        <f t="shared" si="2"/>
        <v>0</v>
      </c>
      <c r="B88" s="1" t="s">
        <v>31</v>
      </c>
      <c r="C88" s="1">
        <v>34.56</v>
      </c>
      <c r="D88" s="1">
        <v>1</v>
      </c>
      <c r="F88" s="4" cm="1">
        <f t="array" aca="1" ref="F88" ca="1">INDEX(OFFSET(INDIRECT("A"&amp;F87), 1, 0):OFFSET(OFFSET(INDIRECT("A"&amp;F87), 1, 0), 100, 0),MATCH(TRUE,INDEX(OFFSET(INDIRECT("A"&amp;F87), 1, 0):OFFSET(OFFSET(INDIRECT("A"&amp;F87), 1, 0), 100, 0)&lt;&gt;0,),0))</f>
        <v>2152</v>
      </c>
      <c r="G88" s="1" t="str" cm="1">
        <f t="array" aca="1" ref="G88" ca="1">INDIRECT("B"&amp;$F88)</f>
        <v>DA</v>
      </c>
      <c r="H88" s="3" t="str" cm="1">
        <f t="array" aca="1" ref="H88" ca="1">_xlfn.IFS(COUNTIF($V$3:$V$18, G88)&lt;&gt;0, "S", COUNTIF($W$3:$W$99, G88)&lt;&gt;0, "E", COUNTIF($X$3, G88)&lt;&gt;0, "I", COUNTIF($Y$3:$Y$8, G88)&lt;&gt;0, "W")</f>
        <v>E</v>
      </c>
      <c r="I88" s="3">
        <f ca="1">SUMIF(OFFSET(INDIRECT("B"&amp;$F88), 4, 0):INDIRECT("B"&amp;$F89), "*"&amp;$I$2&amp;"*", OFFSET(INDIRECT("C"&amp;$F88), 4, 0):OFFSET(INDIRECT("C"&amp;$F89), -1, 0))</f>
        <v>479.2</v>
      </c>
      <c r="J88" s="3">
        <f ca="1">SUMIF(OFFSET(INDIRECT("B"&amp;$F88), 4, 0):INDIRECT("B"&amp;$F89), "*"&amp;$J$2&amp;"*", OFFSET(INDIRECT("C"&amp;$F88), 4, 0):OFFSET(INDIRECT("C"&amp;$F89), -1, 0))</f>
        <v>0</v>
      </c>
      <c r="K88" s="3">
        <f ca="1">SUMIF(OFFSET(INDIRECT("B"&amp;$F88), 4, 0):INDIRECT("B"&amp;$F89), "*"&amp;$K$2&amp;"*", OFFSET(INDIRECT("C"&amp;$F88), 4, 0):OFFSET(INDIRECT("C"&amp;$F89), -1, 0))</f>
        <v>0</v>
      </c>
      <c r="L88" s="3">
        <f ca="1">SUMIF(OFFSET(INDIRECT("B"&amp;$F88), 4, 0):INDIRECT("B"&amp;$F89), "*"&amp;$L$2&amp;"*", OFFSET(INDIRECT("C"&amp;$F88), 4, 0):OFFSET(INDIRECT("C"&amp;$F89), -1, 0))</f>
        <v>93.199999999999989</v>
      </c>
      <c r="M88" s="3">
        <f ca="1">SUMIF(OFFSET(INDIRECT("B"&amp;$F88), 4, 0):INDIRECT("B"&amp;$F89), "*"&amp;$M$2&amp;"*", OFFSET(INDIRECT("C"&amp;$F88), 4, 0):OFFSET(INDIRECT("C"&amp;$F89), -1, 0))</f>
        <v>118.4</v>
      </c>
      <c r="N88" s="3">
        <f ca="1">SUMIF(OFFSET(INDIRECT("B"&amp;$F88), 4, 0):INDIRECT("B"&amp;$F89), "*"&amp;$N$2&amp;"*", OFFSET(INDIRECT("C"&amp;$F88), 4, 0):OFFSET(INDIRECT("C"&amp;$F89), -1, 0))</f>
        <v>0</v>
      </c>
      <c r="O88" s="3">
        <f ca="1">SUMIF(OFFSET(INDIRECT("B"&amp;$F88), 4, 0):INDIRECT("B"&amp;$F89), "*"&amp;$O$2&amp;"*", OFFSET(INDIRECT("C"&amp;$F88), 4, 0):OFFSET(INDIRECT("C"&amp;$F89), -1, 0))</f>
        <v>0</v>
      </c>
      <c r="P88" s="3">
        <f ca="1">SUMIF(OFFSET(INDIRECT("B"&amp;$F88), 4, 0):INDIRECT("B"&amp;$F89), "*"&amp;$P$2&amp;"*", OFFSET(INDIRECT("C"&amp;$F88), 4, 0):OFFSET(INDIRECT("C"&amp;$F89), -1, 0))</f>
        <v>0</v>
      </c>
      <c r="Q88" s="3">
        <f t="shared" ca="1" si="3"/>
        <v>690.8</v>
      </c>
      <c r="W88" s="1" t="s">
        <v>136</v>
      </c>
    </row>
    <row r="89" spans="1:23" x14ac:dyDescent="0.25">
      <c r="A89" s="1">
        <f t="shared" si="2"/>
        <v>0</v>
      </c>
      <c r="B89" s="1" t="s">
        <v>52</v>
      </c>
      <c r="C89" s="1">
        <v>64</v>
      </c>
      <c r="D89" s="1">
        <v>1</v>
      </c>
      <c r="F89" s="4" cm="1">
        <f t="array" aca="1" ref="F89" ca="1">INDEX(OFFSET(INDIRECT("A"&amp;F88), 1, 0):OFFSET(OFFSET(INDIRECT("A"&amp;F88), 1, 0), 100, 0),MATCH(TRUE,INDEX(OFFSET(INDIRECT("A"&amp;F88), 1, 0):OFFSET(OFFSET(INDIRECT("A"&amp;F88), 1, 0), 100, 0)&lt;&gt;0,),0))</f>
        <v>2167</v>
      </c>
      <c r="G89" s="1" t="str" cm="1">
        <f t="array" aca="1" ref="G89" ca="1">INDIRECT("B"&amp;$F89)</f>
        <v>WV</v>
      </c>
      <c r="H89" s="3" t="str" cm="1">
        <f t="array" aca="1" ref="H89" ca="1">_xlfn.IFS(COUNTIF($V$3:$V$18, G89)&lt;&gt;0, "S", COUNTIF($W$3:$W$99, G89)&lt;&gt;0, "E", COUNTIF($X$3, G89)&lt;&gt;0, "I", COUNTIF($Y$3:$Y$8, G89)&lt;&gt;0, "W")</f>
        <v>E</v>
      </c>
      <c r="I89" s="3">
        <f ca="1">SUMIF(OFFSET(INDIRECT("B"&amp;$F89), 4, 0):INDIRECT("B"&amp;$F90), "*"&amp;$I$2&amp;"*", OFFSET(INDIRECT("C"&amp;$F89), 4, 0):OFFSET(INDIRECT("C"&amp;$F90), -1, 0))</f>
        <v>1074</v>
      </c>
      <c r="J89" s="3">
        <f ca="1">SUMIF(OFFSET(INDIRECT("B"&amp;$F89), 4, 0):INDIRECT("B"&amp;$F90), "*"&amp;$J$2&amp;"*", OFFSET(INDIRECT("C"&amp;$F89), 4, 0):OFFSET(INDIRECT("C"&amp;$F90), -1, 0))</f>
        <v>54.8</v>
      </c>
      <c r="K89" s="3">
        <f ca="1">SUMIF(OFFSET(INDIRECT("B"&amp;$F89), 4, 0):INDIRECT("B"&amp;$F90), "*"&amp;$K$2&amp;"*", OFFSET(INDIRECT("C"&amp;$F89), 4, 0):OFFSET(INDIRECT("C"&amp;$F90), -1, 0))</f>
        <v>0</v>
      </c>
      <c r="L89" s="3">
        <f ca="1">SUMIF(OFFSET(INDIRECT("B"&amp;$F89), 4, 0):INDIRECT("B"&amp;$F90), "*"&amp;$L$2&amp;"*", OFFSET(INDIRECT("C"&amp;$F89), 4, 0):OFFSET(INDIRECT("C"&amp;$F90), -1, 0))</f>
        <v>38.4</v>
      </c>
      <c r="M89" s="3">
        <f ca="1">SUMIF(OFFSET(INDIRECT("B"&amp;$F89), 4, 0):INDIRECT("B"&amp;$F90), "*"&amp;$M$2&amp;"*", OFFSET(INDIRECT("C"&amp;$F89), 4, 0):OFFSET(INDIRECT("C"&amp;$F90), -1, 0))</f>
        <v>104</v>
      </c>
      <c r="N89" s="3">
        <f ca="1">SUMIF(OFFSET(INDIRECT("B"&amp;$F89), 4, 0):INDIRECT("B"&amp;$F90), "*"&amp;$N$2&amp;"*", OFFSET(INDIRECT("C"&amp;$F89), 4, 0):OFFSET(INDIRECT("C"&amp;$F90), -1, 0))</f>
        <v>0</v>
      </c>
      <c r="O89" s="3">
        <f ca="1">SUMIF(OFFSET(INDIRECT("B"&amp;$F89), 4, 0):INDIRECT("B"&amp;$F90), "*"&amp;$O$2&amp;"*", OFFSET(INDIRECT("C"&amp;$F89), 4, 0):OFFSET(INDIRECT("C"&amp;$F90), -1, 0))</f>
        <v>0</v>
      </c>
      <c r="P89" s="3">
        <f ca="1">SUMIF(OFFSET(INDIRECT("B"&amp;$F89), 4, 0):INDIRECT("B"&amp;$F90), "*"&amp;$P$2&amp;"*", OFFSET(INDIRECT("C"&amp;$F89), 4, 0):OFFSET(INDIRECT("C"&amp;$F90), -1, 0))</f>
        <v>94.8</v>
      </c>
      <c r="Q89" s="3">
        <f t="shared" ca="1" si="3"/>
        <v>1366</v>
      </c>
      <c r="W89" s="1" t="s">
        <v>107</v>
      </c>
    </row>
    <row r="90" spans="1:23" x14ac:dyDescent="0.25">
      <c r="A90" s="1">
        <f t="shared" si="2"/>
        <v>0</v>
      </c>
      <c r="B90" s="1" t="s">
        <v>33</v>
      </c>
      <c r="C90" s="1">
        <v>240</v>
      </c>
      <c r="D90" s="1">
        <v>6</v>
      </c>
      <c r="F90" s="4" cm="1">
        <f t="array" aca="1" ref="F90" ca="1">INDEX(OFFSET(INDIRECT("A"&amp;F89), 1, 0):OFFSET(OFFSET(INDIRECT("A"&amp;F89), 1, 0), 100, 0),MATCH(TRUE,INDEX(OFFSET(INDIRECT("A"&amp;F89), 1, 0):OFFSET(OFFSET(INDIRECT("A"&amp;F89), 1, 0), 100, 0)&lt;&gt;0,),0))</f>
        <v>2185</v>
      </c>
      <c r="G90" s="1" t="str" cm="1">
        <f t="array" aca="1" ref="G90" ca="1">INDIRECT("B"&amp;$F90)</f>
        <v>KW</v>
      </c>
      <c r="H90" s="3" t="str" cm="1">
        <f t="array" aca="1" ref="H90" ca="1">_xlfn.IFS(COUNTIF($V$3:$V$18, G90)&lt;&gt;0, "S", COUNTIF($W$3:$W$99, G90)&lt;&gt;0, "E", COUNTIF($X$3, G90)&lt;&gt;0, "I", COUNTIF($Y$3:$Y$8, G90)&lt;&gt;0, "W")</f>
        <v>S</v>
      </c>
      <c r="I90" s="3">
        <f ca="1">SUMIF(OFFSET(INDIRECT("B"&amp;$F90), 4, 0):INDIRECT("B"&amp;$F91), "*"&amp;$I$2&amp;"*", OFFSET(INDIRECT("C"&amp;$F90), 4, 0):OFFSET(INDIRECT("C"&amp;$F91), -1, 0))</f>
        <v>109.6</v>
      </c>
      <c r="J90" s="3">
        <f ca="1">SUMIF(OFFSET(INDIRECT("B"&amp;$F90), 4, 0):INDIRECT("B"&amp;$F91), "*"&amp;$J$2&amp;"*", OFFSET(INDIRECT("C"&amp;$F90), 4, 0):OFFSET(INDIRECT("C"&amp;$F91), -1, 0))</f>
        <v>93.199999999999989</v>
      </c>
      <c r="K90" s="3">
        <f ca="1">SUMIF(OFFSET(INDIRECT("B"&amp;$F90), 4, 0):INDIRECT("B"&amp;$F91), "*"&amp;$K$2&amp;"*", OFFSET(INDIRECT("C"&amp;$F90), 4, 0):OFFSET(INDIRECT("C"&amp;$F91), -1, 0))</f>
        <v>153.6</v>
      </c>
      <c r="L90" s="3">
        <f ca="1">SUMIF(OFFSET(INDIRECT("B"&amp;$F90), 4, 0):INDIRECT("B"&amp;$F91), "*"&amp;$L$2&amp;"*", OFFSET(INDIRECT("C"&amp;$F90), 4, 0):OFFSET(INDIRECT("C"&amp;$F91), -1, 0))</f>
        <v>109.6</v>
      </c>
      <c r="M90" s="3">
        <f ca="1">SUMIF(OFFSET(INDIRECT("B"&amp;$F90), 4, 0):INDIRECT("B"&amp;$F91), "*"&amp;$M$2&amp;"*", OFFSET(INDIRECT("C"&amp;$F90), 4, 0):OFFSET(INDIRECT("C"&amp;$F91), -1, 0))</f>
        <v>40</v>
      </c>
      <c r="N90" s="3">
        <f ca="1">SUMIF(OFFSET(INDIRECT("B"&amp;$F90), 4, 0):INDIRECT("B"&amp;$F91), "*"&amp;$N$2&amp;"*", OFFSET(INDIRECT("C"&amp;$F90), 4, 0):OFFSET(INDIRECT("C"&amp;$F91), -1, 0))</f>
        <v>57.5</v>
      </c>
      <c r="O90" s="3">
        <f ca="1">SUMIF(OFFSET(INDIRECT("B"&amp;$F90), 4, 0):INDIRECT("B"&amp;$F91), "*"&amp;$O$2&amp;"*", OFFSET(INDIRECT("C"&amp;$F90), 4, 0):OFFSET(INDIRECT("C"&amp;$F91), -1, 0))</f>
        <v>78.400000000000006</v>
      </c>
      <c r="P90" s="3">
        <f ca="1">SUMIF(OFFSET(INDIRECT("B"&amp;$F90), 4, 0):INDIRECT("B"&amp;$F91), "*"&amp;$P$2&amp;"*", OFFSET(INDIRECT("C"&amp;$F90), 4, 0):OFFSET(INDIRECT("C"&amp;$F91), -1, 0))</f>
        <v>83.55</v>
      </c>
      <c r="Q90" s="3">
        <f t="shared" ca="1" si="3"/>
        <v>725.44999999999993</v>
      </c>
      <c r="W90" s="1" t="s">
        <v>185</v>
      </c>
    </row>
    <row r="91" spans="1:23" x14ac:dyDescent="0.25">
      <c r="A91" s="1">
        <f t="shared" si="2"/>
        <v>0</v>
      </c>
      <c r="B91" s="1" t="s">
        <v>15</v>
      </c>
      <c r="C91" s="1">
        <v>408</v>
      </c>
      <c r="D91" s="1">
        <v>6</v>
      </c>
      <c r="F91" s="4" cm="1">
        <f t="array" aca="1" ref="F91" ca="1">INDEX(OFFSET(INDIRECT("A"&amp;F90), 1, 0):OFFSET(OFFSET(INDIRECT("A"&amp;F90), 1, 0), 100, 0),MATCH(TRUE,INDEX(OFFSET(INDIRECT("A"&amp;F90), 1, 0):OFFSET(OFFSET(INDIRECT("A"&amp;F90), 1, 0), 100, 0)&lt;&gt;0,),0))</f>
        <v>2206</v>
      </c>
      <c r="G91" s="1" t="str" cm="1">
        <f t="array" aca="1" ref="G91" ca="1">INDIRECT("B"&amp;$F91)</f>
        <v>HG</v>
      </c>
      <c r="H91" s="3" t="str" cm="1">
        <f t="array" aca="1" ref="H91" ca="1">_xlfn.IFS(COUNTIF($V$3:$V$18, G91)&lt;&gt;0, "S", COUNTIF($W$3:$W$99, G91)&lt;&gt;0, "E", COUNTIF($X$3, G91)&lt;&gt;0, "I", COUNTIF($Y$3:$Y$8, G91)&lt;&gt;0, "W")</f>
        <v>E</v>
      </c>
      <c r="I91" s="3">
        <f ca="1">SUMIF(OFFSET(INDIRECT("B"&amp;$F91), 4, 0):INDIRECT("B"&amp;$F92), "*"&amp;$I$2&amp;"*", OFFSET(INDIRECT("C"&amp;$F91), 4, 0):OFFSET(INDIRECT("C"&amp;$F92), -1, 0))</f>
        <v>335.15</v>
      </c>
      <c r="J91" s="3">
        <f ca="1">SUMIF(OFFSET(INDIRECT("B"&amp;$F91), 4, 0):INDIRECT("B"&amp;$F92), "*"&amp;$J$2&amp;"*", OFFSET(INDIRECT("C"&amp;$F91), 4, 0):OFFSET(INDIRECT("C"&amp;$F92), -1, 0))</f>
        <v>0</v>
      </c>
      <c r="K91" s="3">
        <f ca="1">SUMIF(OFFSET(INDIRECT("B"&amp;$F91), 4, 0):INDIRECT("B"&amp;$F92), "*"&amp;$K$2&amp;"*", OFFSET(INDIRECT("C"&amp;$F91), 4, 0):OFFSET(INDIRECT("C"&amp;$F92), -1, 0))</f>
        <v>0</v>
      </c>
      <c r="L91" s="3">
        <f ca="1">SUMIF(OFFSET(INDIRECT("B"&amp;$F91), 4, 0):INDIRECT("B"&amp;$F92), "*"&amp;$L$2&amp;"*", OFFSET(INDIRECT("C"&amp;$F91), 4, 0):OFFSET(INDIRECT("C"&amp;$F92), -1, 0))</f>
        <v>49.95</v>
      </c>
      <c r="M91" s="3">
        <f ca="1">SUMIF(OFFSET(INDIRECT("B"&amp;$F91), 4, 0):INDIRECT("B"&amp;$F92), "*"&amp;$M$2&amp;"*", OFFSET(INDIRECT("C"&amp;$F91), 4, 0):OFFSET(INDIRECT("C"&amp;$F92), -1, 0))</f>
        <v>120</v>
      </c>
      <c r="N91" s="3">
        <f ca="1">SUMIF(OFFSET(INDIRECT("B"&amp;$F91), 4, 0):INDIRECT("B"&amp;$F92), "*"&amp;$N$2&amp;"*", OFFSET(INDIRECT("C"&amp;$F91), 4, 0):OFFSET(INDIRECT("C"&amp;$F92), -1, 0))</f>
        <v>0</v>
      </c>
      <c r="O91" s="3">
        <f ca="1">SUMIF(OFFSET(INDIRECT("B"&amp;$F91), 4, 0):INDIRECT("B"&amp;$F92), "*"&amp;$O$2&amp;"*", OFFSET(INDIRECT("C"&amp;$F91), 4, 0):OFFSET(INDIRECT("C"&amp;$F92), -1, 0))</f>
        <v>0</v>
      </c>
      <c r="P91" s="3">
        <f ca="1">SUMIF(OFFSET(INDIRECT("B"&amp;$F91), 4, 0):INDIRECT("B"&amp;$F92), "*"&amp;$P$2&amp;"*", OFFSET(INDIRECT("C"&amp;$F91), 4, 0):OFFSET(INDIRECT("C"&amp;$F92), -1, 0))</f>
        <v>93.199999999999989</v>
      </c>
      <c r="Q91" s="3">
        <f t="shared" ca="1" si="3"/>
        <v>598.29999999999995</v>
      </c>
      <c r="W91" s="1" t="s">
        <v>122</v>
      </c>
    </row>
    <row r="92" spans="1:23" x14ac:dyDescent="0.25">
      <c r="A92" s="1">
        <f t="shared" si="2"/>
        <v>0</v>
      </c>
      <c r="B92" s="1" t="s">
        <v>26</v>
      </c>
      <c r="C92" s="1">
        <v>112.5</v>
      </c>
      <c r="D92" s="1">
        <v>3</v>
      </c>
      <c r="F92" s="4" cm="1">
        <f t="array" aca="1" ref="F92" ca="1">INDEX(OFFSET(INDIRECT("A"&amp;F91), 1, 0):OFFSET(OFFSET(INDIRECT("A"&amp;F91), 1, 0), 100, 0),MATCH(TRUE,INDEX(OFFSET(INDIRECT("A"&amp;F91), 1, 0):OFFSET(OFFSET(INDIRECT("A"&amp;F91), 1, 0), 100, 0)&lt;&gt;0,),0))</f>
        <v>2222</v>
      </c>
      <c r="G92" s="1" t="str" cm="1">
        <f t="array" aca="1" ref="G92" ca="1">INDIRECT("B"&amp;$F92)</f>
        <v>MK</v>
      </c>
      <c r="H92" s="3" t="str" cm="1">
        <f t="array" aca="1" ref="H92" ca="1">_xlfn.IFS(COUNTIF($V$3:$V$18, G92)&lt;&gt;0, "S", COUNTIF($W$3:$W$99, G92)&lt;&gt;0, "E", COUNTIF($X$3, G92)&lt;&gt;0, "I", COUNTIF($Y$3:$Y$8, G92)&lt;&gt;0, "W")</f>
        <v>E</v>
      </c>
      <c r="I92" s="3">
        <f ca="1">SUMIF(OFFSET(INDIRECT("B"&amp;$F92), 4, 0):INDIRECT("B"&amp;$F93), "*"&amp;$I$2&amp;"*", OFFSET(INDIRECT("C"&amp;$F92), 4, 0):OFFSET(INDIRECT("C"&amp;$F93), -1, 0))</f>
        <v>853.6</v>
      </c>
      <c r="J92" s="3">
        <f ca="1">SUMIF(OFFSET(INDIRECT("B"&amp;$F92), 4, 0):INDIRECT("B"&amp;$F93), "*"&amp;$J$2&amp;"*", OFFSET(INDIRECT("C"&amp;$F92), 4, 0):OFFSET(INDIRECT("C"&amp;$F93), -1, 0))</f>
        <v>0</v>
      </c>
      <c r="K92" s="3">
        <f ca="1">SUMIF(OFFSET(INDIRECT("B"&amp;$F92), 4, 0):INDIRECT("B"&amp;$F93), "*"&amp;$K$2&amp;"*", OFFSET(INDIRECT("C"&amp;$F92), 4, 0):OFFSET(INDIRECT("C"&amp;$F93), -1, 0))</f>
        <v>0</v>
      </c>
      <c r="L92" s="3">
        <f ca="1">SUMIF(OFFSET(INDIRECT("B"&amp;$F92), 4, 0):INDIRECT("B"&amp;$F93), "*"&amp;$L$2&amp;"*", OFFSET(INDIRECT("C"&amp;$F92), 4, 0):OFFSET(INDIRECT("C"&amp;$F93), -1, 0))</f>
        <v>0</v>
      </c>
      <c r="M92" s="3">
        <f ca="1">SUMIF(OFFSET(INDIRECT("B"&amp;$F92), 4, 0):INDIRECT("B"&amp;$F93), "*"&amp;$M$2&amp;"*", OFFSET(INDIRECT("C"&amp;$F92), 4, 0):OFFSET(INDIRECT("C"&amp;$F93), -1, 0))</f>
        <v>38.4</v>
      </c>
      <c r="N92" s="3">
        <f ca="1">SUMIF(OFFSET(INDIRECT("B"&amp;$F92), 4, 0):INDIRECT("B"&amp;$F93), "*"&amp;$N$2&amp;"*", OFFSET(INDIRECT("C"&amp;$F92), 4, 0):OFFSET(INDIRECT("C"&amp;$F93), -1, 0))</f>
        <v>227.5</v>
      </c>
      <c r="O92" s="3">
        <f ca="1">SUMIF(OFFSET(INDIRECT("B"&amp;$F92), 4, 0):INDIRECT("B"&amp;$F93), "*"&amp;$O$2&amp;"*", OFFSET(INDIRECT("C"&amp;$F92), 4, 0):OFFSET(INDIRECT("C"&amp;$F93), -1, 0))</f>
        <v>38.4</v>
      </c>
      <c r="P92" s="3">
        <f ca="1">SUMIF(OFFSET(INDIRECT("B"&amp;$F92), 4, 0):INDIRECT("B"&amp;$F93), "*"&amp;$P$2&amp;"*", OFFSET(INDIRECT("C"&amp;$F92), 4, 0):OFFSET(INDIRECT("C"&amp;$F93), -1, 0))</f>
        <v>54.8</v>
      </c>
      <c r="Q92" s="3">
        <f t="shared" ca="1" si="3"/>
        <v>1212.7</v>
      </c>
      <c r="W92" s="1" t="s">
        <v>201</v>
      </c>
    </row>
    <row r="93" spans="1:23" x14ac:dyDescent="0.25">
      <c r="A93" s="1">
        <f t="shared" si="2"/>
        <v>0</v>
      </c>
      <c r="B93" s="1" t="s">
        <v>14</v>
      </c>
      <c r="C93" s="1">
        <v>28.75</v>
      </c>
      <c r="D93" s="1">
        <v>1</v>
      </c>
      <c r="F93" s="4" cm="1">
        <f t="array" aca="1" ref="F93" ca="1">INDEX(OFFSET(INDIRECT("A"&amp;F92), 1, 0):OFFSET(OFFSET(INDIRECT("A"&amp;F92), 1, 0), 100, 0),MATCH(TRUE,INDEX(OFFSET(INDIRECT("A"&amp;F92), 1, 0):OFFSET(OFFSET(INDIRECT("A"&amp;F92), 1, 0), 100, 0)&lt;&gt;0,),0))</f>
        <v>2242</v>
      </c>
      <c r="G93" s="1" t="str" cm="1">
        <f t="array" aca="1" ref="G93" ca="1">INDIRECT("B"&amp;$F93)</f>
        <v>WD</v>
      </c>
      <c r="H93" s="3" t="str" cm="1">
        <f t="array" aca="1" ref="H93" ca="1">_xlfn.IFS(COUNTIF($V$3:$V$18, G93)&lt;&gt;0, "S", COUNTIF($W$3:$W$99, G93)&lt;&gt;0, "E", COUNTIF($X$3, G93)&lt;&gt;0, "I", COUNTIF($Y$3:$Y$8, G93)&lt;&gt;0, "W")</f>
        <v>E</v>
      </c>
      <c r="I93" s="3">
        <f ca="1">SUMIF(OFFSET(INDIRECT("B"&amp;$F93), 4, 0):INDIRECT("B"&amp;$F94), "*"&amp;$I$2&amp;"*", OFFSET(INDIRECT("C"&amp;$F93), 4, 0):OFFSET(INDIRECT("C"&amp;$F94), -1, 0))</f>
        <v>349.2</v>
      </c>
      <c r="J93" s="3">
        <f ca="1">SUMIF(OFFSET(INDIRECT("B"&amp;$F93), 4, 0):INDIRECT("B"&amp;$F94), "*"&amp;$J$2&amp;"*", OFFSET(INDIRECT("C"&amp;$F93), 4, 0):OFFSET(INDIRECT("C"&amp;$F94), -1, 0))</f>
        <v>0</v>
      </c>
      <c r="K93" s="3">
        <f ca="1">SUMIF(OFFSET(INDIRECT("B"&amp;$F93), 4, 0):INDIRECT("B"&amp;$F94), "*"&amp;$K$2&amp;"*", OFFSET(INDIRECT("C"&amp;$F93), 4, 0):OFFSET(INDIRECT("C"&amp;$F94), -1, 0))</f>
        <v>115.2</v>
      </c>
      <c r="L93" s="3">
        <f ca="1">SUMIF(OFFSET(INDIRECT("B"&amp;$F93), 4, 0):INDIRECT("B"&amp;$F94), "*"&amp;$L$2&amp;"*", OFFSET(INDIRECT("C"&amp;$F93), 4, 0):OFFSET(INDIRECT("C"&amp;$F94), -1, 0))</f>
        <v>38.4</v>
      </c>
      <c r="M93" s="3">
        <f ca="1">SUMIF(OFFSET(INDIRECT("B"&amp;$F93), 4, 0):INDIRECT("B"&amp;$F94), "*"&amp;$M$2&amp;"*", OFFSET(INDIRECT("C"&amp;$F93), 4, 0):OFFSET(INDIRECT("C"&amp;$F94), -1, 0))</f>
        <v>153.6</v>
      </c>
      <c r="N93" s="3">
        <f ca="1">SUMIF(OFFSET(INDIRECT("B"&amp;$F93), 4, 0):INDIRECT("B"&amp;$F94), "*"&amp;$N$2&amp;"*", OFFSET(INDIRECT("C"&amp;$F93), 4, 0):OFFSET(INDIRECT("C"&amp;$F94), -1, 0))</f>
        <v>0</v>
      </c>
      <c r="O93" s="3">
        <f ca="1">SUMIF(OFFSET(INDIRECT("B"&amp;$F93), 4, 0):INDIRECT("B"&amp;$F94), "*"&amp;$O$2&amp;"*", OFFSET(INDIRECT("C"&amp;$F93), 4, 0):OFFSET(INDIRECT("C"&amp;$F94), -1, 0))</f>
        <v>0</v>
      </c>
      <c r="P93" s="3">
        <f ca="1">SUMIF(OFFSET(INDIRECT("B"&amp;$F93), 4, 0):INDIRECT("B"&amp;$F94), "*"&amp;$P$2&amp;"*", OFFSET(INDIRECT("C"&amp;$F93), 4, 0):OFFSET(INDIRECT("C"&amp;$F94), -1, 0))</f>
        <v>157.19999999999999</v>
      </c>
      <c r="Q93" s="3">
        <f t="shared" ca="1" si="3"/>
        <v>813.59999999999991</v>
      </c>
      <c r="W93" s="1" t="s">
        <v>161</v>
      </c>
    </row>
    <row r="94" spans="1:23" x14ac:dyDescent="0.25">
      <c r="A94" s="1">
        <f t="shared" si="2"/>
        <v>0</v>
      </c>
      <c r="B94" s="1" t="s">
        <v>8</v>
      </c>
      <c r="C94" s="1">
        <v>219.2</v>
      </c>
      <c r="D94" s="1">
        <v>6</v>
      </c>
      <c r="F94" s="4" cm="1">
        <f t="array" aca="1" ref="F94" ca="1">INDEX(OFFSET(INDIRECT("A"&amp;F93), 1, 0):OFFSET(OFFSET(INDIRECT("A"&amp;F93), 1, 0), 100, 0),MATCH(TRUE,INDEX(OFFSET(INDIRECT("A"&amp;F93), 1, 0):OFFSET(OFFSET(INDIRECT("A"&amp;F93), 1, 0), 100, 0)&lt;&gt;0,),0))</f>
        <v>2258</v>
      </c>
      <c r="G94" s="1" t="str" cm="1">
        <f t="array" aca="1" ref="G94" ca="1">INDIRECT("B"&amp;$F94)</f>
        <v>TS</v>
      </c>
      <c r="H94" s="3" t="str" cm="1">
        <f t="array" aca="1" ref="H94" ca="1">_xlfn.IFS(COUNTIF($V$3:$V$18, G94)&lt;&gt;0, "S", COUNTIF($W$3:$W$99, G94)&lt;&gt;0, "E", COUNTIF($X$3, G94)&lt;&gt;0, "I", COUNTIF($Y$3:$Y$8, G94)&lt;&gt;0, "W")</f>
        <v>E</v>
      </c>
      <c r="I94" s="3">
        <f ca="1">SUMIF(OFFSET(INDIRECT("B"&amp;$F94), 4, 0):INDIRECT("B"&amp;$F95), "*"&amp;$I$2&amp;"*", OFFSET(INDIRECT("C"&amp;$F94), 4, 0):OFFSET(INDIRECT("C"&amp;$F95), -1, 0))</f>
        <v>614</v>
      </c>
      <c r="J94" s="3">
        <f ca="1">SUMIF(OFFSET(INDIRECT("B"&amp;$F94), 4, 0):INDIRECT("B"&amp;$F95), "*"&amp;$J$2&amp;"*", OFFSET(INDIRECT("C"&amp;$F94), 4, 0):OFFSET(INDIRECT("C"&amp;$F95), -1, 0))</f>
        <v>78.400000000000006</v>
      </c>
      <c r="K94" s="3">
        <f ca="1">SUMIF(OFFSET(INDIRECT("B"&amp;$F94), 4, 0):INDIRECT("B"&amp;$F95), "*"&amp;$K$2&amp;"*", OFFSET(INDIRECT("C"&amp;$F94), 4, 0):OFFSET(INDIRECT("C"&amp;$F95), -1, 0))</f>
        <v>38.4</v>
      </c>
      <c r="L94" s="3">
        <f ca="1">SUMIF(OFFSET(INDIRECT("B"&amp;$F94), 4, 0):INDIRECT("B"&amp;$F95), "*"&amp;$L$2&amp;"*", OFFSET(INDIRECT("C"&amp;$F94), 4, 0):OFFSET(INDIRECT("C"&amp;$F95), -1, 0))</f>
        <v>38.4</v>
      </c>
      <c r="M94" s="3">
        <f ca="1">SUMIF(OFFSET(INDIRECT("B"&amp;$F94), 4, 0):INDIRECT("B"&amp;$F95), "*"&amp;$M$2&amp;"*", OFFSET(INDIRECT("C"&amp;$F94), 4, 0):OFFSET(INDIRECT("C"&amp;$F95), -1, 0))</f>
        <v>0</v>
      </c>
      <c r="N94" s="3">
        <f ca="1">SUMIF(OFFSET(INDIRECT("B"&amp;$F94), 4, 0):INDIRECT("B"&amp;$F95), "*"&amp;$N$2&amp;"*", OFFSET(INDIRECT("C"&amp;$F94), 4, 0):OFFSET(INDIRECT("C"&amp;$F95), -1, 0))</f>
        <v>95.9</v>
      </c>
      <c r="O94" s="3">
        <f ca="1">SUMIF(OFFSET(INDIRECT("B"&amp;$F94), 4, 0):INDIRECT("B"&amp;$F95), "*"&amp;$O$2&amp;"*", OFFSET(INDIRECT("C"&amp;$F94), 4, 0):OFFSET(INDIRECT("C"&amp;$F95), -1, 0))</f>
        <v>76.8</v>
      </c>
      <c r="P94" s="3">
        <f ca="1">SUMIF(OFFSET(INDIRECT("B"&amp;$F94), 4, 0):INDIRECT("B"&amp;$F95), "*"&amp;$P$2&amp;"*", OFFSET(INDIRECT("C"&amp;$F94), 4, 0):OFFSET(INDIRECT("C"&amp;$F95), -1, 0))</f>
        <v>224.8</v>
      </c>
      <c r="Q94" s="3">
        <f t="shared" ca="1" si="3"/>
        <v>1166.6999999999998</v>
      </c>
      <c r="W94" s="1" t="s">
        <v>172</v>
      </c>
    </row>
    <row r="95" spans="1:23" x14ac:dyDescent="0.25">
      <c r="A95" s="1">
        <f t="shared" si="2"/>
        <v>0</v>
      </c>
      <c r="B95" s="1" t="s">
        <v>9</v>
      </c>
      <c r="C95" s="1">
        <v>164.4</v>
      </c>
      <c r="D95" s="1">
        <v>3</v>
      </c>
      <c r="F95" s="4" cm="1">
        <f t="array" aca="1" ref="F95" ca="1">INDEX(OFFSET(INDIRECT("A"&amp;F94), 1, 0):OFFSET(OFFSET(INDIRECT("A"&amp;F94), 1, 0), 100, 0),MATCH(TRUE,INDEX(OFFSET(INDIRECT("A"&amp;F94), 1, 0):OFFSET(OFFSET(INDIRECT("A"&amp;F94), 1, 0), 100, 0)&lt;&gt;0,),0))</f>
        <v>2279</v>
      </c>
      <c r="G95" s="1" t="str" cm="1">
        <f t="array" aca="1" ref="G95" ca="1">INDIRECT("B"&amp;$F95)</f>
        <v>DY</v>
      </c>
      <c r="H95" s="3" t="str" cm="1">
        <f t="array" aca="1" ref="H95" ca="1">_xlfn.IFS(COUNTIF($V$3:$V$18, G95)&lt;&gt;0, "S", COUNTIF($W$3:$W$99, G95)&lt;&gt;0, "E", COUNTIF($X$3, G95)&lt;&gt;0, "I", COUNTIF($Y$3:$Y$8, G95)&lt;&gt;0, "W")</f>
        <v>E</v>
      </c>
      <c r="I95" s="3">
        <f ca="1">SUMIF(OFFSET(INDIRECT("B"&amp;$F95), 4, 0):INDIRECT("B"&amp;$F96), "*"&amp;$I$2&amp;"*", OFFSET(INDIRECT("C"&amp;$F95), 4, 0):OFFSET(INDIRECT("C"&amp;$F96), -1, 0))</f>
        <v>1229.6000000000001</v>
      </c>
      <c r="J95" s="3">
        <f ca="1">SUMIF(OFFSET(INDIRECT("B"&amp;$F95), 4, 0):INDIRECT("B"&amp;$F96), "*"&amp;$J$2&amp;"*", OFFSET(INDIRECT("C"&amp;$F95), 4, 0):OFFSET(INDIRECT("C"&amp;$F96), -1, 0))</f>
        <v>0</v>
      </c>
      <c r="K95" s="3">
        <f ca="1">SUMIF(OFFSET(INDIRECT("B"&amp;$F95), 4, 0):INDIRECT("B"&amp;$F96), "*"&amp;$K$2&amp;"*", OFFSET(INDIRECT("C"&amp;$F95), 4, 0):OFFSET(INDIRECT("C"&amp;$F96), -1, 0))</f>
        <v>0</v>
      </c>
      <c r="L95" s="3">
        <f ca="1">SUMIF(OFFSET(INDIRECT("B"&amp;$F95), 4, 0):INDIRECT("B"&amp;$F96), "*"&amp;$L$2&amp;"*", OFFSET(INDIRECT("C"&amp;$F95), 4, 0):OFFSET(INDIRECT("C"&amp;$F96), -1, 0))</f>
        <v>70.789999999999992</v>
      </c>
      <c r="M95" s="3">
        <f ca="1">SUMIF(OFFSET(INDIRECT("B"&amp;$F95), 4, 0):INDIRECT("B"&amp;$F96), "*"&amp;$M$2&amp;"*", OFFSET(INDIRECT("C"&amp;$F95), 4, 0):OFFSET(INDIRECT("C"&amp;$F96), -1, 0))</f>
        <v>40</v>
      </c>
      <c r="N95" s="3">
        <f ca="1">SUMIF(OFFSET(INDIRECT("B"&amp;$F95), 4, 0):INDIRECT("B"&amp;$F96), "*"&amp;$N$2&amp;"*", OFFSET(INDIRECT("C"&amp;$F95), 4, 0):OFFSET(INDIRECT("C"&amp;$F96), -1, 0))</f>
        <v>28.75</v>
      </c>
      <c r="O95" s="3">
        <f ca="1">SUMIF(OFFSET(INDIRECT("B"&amp;$F95), 4, 0):INDIRECT("B"&amp;$F96), "*"&amp;$O$2&amp;"*", OFFSET(INDIRECT("C"&amp;$F95), 4, 0):OFFSET(INDIRECT("C"&amp;$F96), -1, 0))</f>
        <v>38.4</v>
      </c>
      <c r="P95" s="3">
        <f ca="1">SUMIF(OFFSET(INDIRECT("B"&amp;$F95), 4, 0):INDIRECT("B"&amp;$F96), "*"&amp;$P$2&amp;"*", OFFSET(INDIRECT("C"&amp;$F95), 4, 0):OFFSET(INDIRECT("C"&amp;$F96), -1, 0))</f>
        <v>231.55</v>
      </c>
      <c r="Q95" s="3">
        <f t="shared" ca="1" si="3"/>
        <v>1639.0900000000001</v>
      </c>
      <c r="W95" s="1" t="s">
        <v>178</v>
      </c>
    </row>
    <row r="96" spans="1:23" x14ac:dyDescent="0.25">
      <c r="A96" s="1">
        <f t="shared" si="2"/>
        <v>0</v>
      </c>
      <c r="B96" s="1" t="s">
        <v>16</v>
      </c>
      <c r="C96" s="1">
        <v>35.200000000000003</v>
      </c>
      <c r="D96" s="1">
        <v>1</v>
      </c>
      <c r="F96" s="4" cm="1">
        <f t="array" aca="1" ref="F96" ca="1">INDEX(OFFSET(INDIRECT("A"&amp;F95), 1, 0):OFFSET(OFFSET(INDIRECT("A"&amp;F95), 1, 0), 100, 0),MATCH(TRUE,INDEX(OFFSET(INDIRECT("A"&amp;F95), 1, 0):OFFSET(OFFSET(INDIRECT("A"&amp;F95), 1, 0), 100, 0)&lt;&gt;0,),0))</f>
        <v>2301</v>
      </c>
      <c r="G96" s="1" t="str" cm="1">
        <f t="array" aca="1" ref="G96" ca="1">INDIRECT("B"&amp;$F96)</f>
        <v>RM</v>
      </c>
      <c r="H96" s="3" t="str" cm="1">
        <f t="array" aca="1" ref="H96" ca="1">_xlfn.IFS(COUNTIF($V$3:$V$18, G96)&lt;&gt;0, "S", COUNTIF($W$3:$W$99, G96)&lt;&gt;0, "E", COUNTIF($X$3, G96)&lt;&gt;0, "I", COUNTIF($Y$3:$Y$8, G96)&lt;&gt;0, "W")</f>
        <v>E</v>
      </c>
      <c r="I96" s="3">
        <f ca="1">SUMIF(OFFSET(INDIRECT("B"&amp;$F96), 4, 0):INDIRECT("B"&amp;$F97), "*"&amp;$I$2&amp;"*", OFFSET(INDIRECT("C"&amp;$F96), 4, 0):OFFSET(INDIRECT("C"&amp;$F97), -1, 0))</f>
        <v>498.8</v>
      </c>
      <c r="J96" s="3">
        <f ca="1">SUMIF(OFFSET(INDIRECT("B"&amp;$F96), 4, 0):INDIRECT("B"&amp;$F97), "*"&amp;$J$2&amp;"*", OFFSET(INDIRECT("C"&amp;$F96), 4, 0):OFFSET(INDIRECT("C"&amp;$F97), -1, 0))</f>
        <v>38.4</v>
      </c>
      <c r="K96" s="3">
        <f ca="1">SUMIF(OFFSET(INDIRECT("B"&amp;$F96), 4, 0):INDIRECT("B"&amp;$F97), "*"&amp;$K$2&amp;"*", OFFSET(INDIRECT("C"&amp;$F96), 4, 0):OFFSET(INDIRECT("C"&amp;$F97), -1, 0))</f>
        <v>0</v>
      </c>
      <c r="L96" s="3">
        <f ca="1">SUMIF(OFFSET(INDIRECT("B"&amp;$F96), 4, 0):INDIRECT("B"&amp;$F97), "*"&amp;$L$2&amp;"*", OFFSET(INDIRECT("C"&amp;$F96), 4, 0):OFFSET(INDIRECT("C"&amp;$F97), -1, 0))</f>
        <v>80.900000000000006</v>
      </c>
      <c r="M96" s="3">
        <f ca="1">SUMIF(OFFSET(INDIRECT("B"&amp;$F96), 4, 0):INDIRECT("B"&amp;$F97), "*"&amp;$M$2&amp;"*", OFFSET(INDIRECT("C"&amp;$F96), 4, 0):OFFSET(INDIRECT("C"&amp;$F97), -1, 0))</f>
        <v>256</v>
      </c>
      <c r="N96" s="3">
        <f ca="1">SUMIF(OFFSET(INDIRECT("B"&amp;$F96), 4, 0):INDIRECT("B"&amp;$F97), "*"&amp;$N$2&amp;"*", OFFSET(INDIRECT("C"&amp;$F96), 4, 0):OFFSET(INDIRECT("C"&amp;$F97), -1, 0))</f>
        <v>0</v>
      </c>
      <c r="O96" s="3">
        <f ca="1">SUMIF(OFFSET(INDIRECT("B"&amp;$F96), 4, 0):INDIRECT("B"&amp;$F97), "*"&amp;$O$2&amp;"*", OFFSET(INDIRECT("C"&amp;$F96), 4, 0):OFFSET(INDIRECT("C"&amp;$F97), -1, 0))</f>
        <v>0</v>
      </c>
      <c r="P96" s="3">
        <f ca="1">SUMIF(OFFSET(INDIRECT("B"&amp;$F96), 4, 0):INDIRECT("B"&amp;$F97), "*"&amp;$P$2&amp;"*", OFFSET(INDIRECT("C"&amp;$F96), 4, 0):OFFSET(INDIRECT("C"&amp;$F97), -1, 0))</f>
        <v>109.6</v>
      </c>
      <c r="Q96" s="3">
        <f t="shared" ca="1" si="3"/>
        <v>983.7</v>
      </c>
      <c r="W96" s="1" t="s">
        <v>166</v>
      </c>
    </row>
    <row r="97" spans="1:23" x14ac:dyDescent="0.25">
      <c r="A97" s="1">
        <f t="shared" si="2"/>
        <v>0</v>
      </c>
      <c r="B97" s="1" t="s">
        <v>27</v>
      </c>
      <c r="C97" s="1">
        <v>76.8</v>
      </c>
      <c r="D97" s="1">
        <v>2</v>
      </c>
      <c r="F97" s="4" cm="1">
        <f t="array" aca="1" ref="F97" ca="1">INDEX(OFFSET(INDIRECT("A"&amp;F96), 1, 0):OFFSET(OFFSET(INDIRECT("A"&amp;F96), 1, 0), 100, 0),MATCH(TRUE,INDEX(OFFSET(INDIRECT("A"&amp;F96), 1, 0):OFFSET(OFFSET(INDIRECT("A"&amp;F96), 1, 0), 100, 0)&lt;&gt;0,),0))</f>
        <v>2314</v>
      </c>
      <c r="G97" s="1" t="str" cm="1">
        <f t="array" aca="1" ref="G97" ca="1">INDIRECT("B"&amp;$F97)</f>
        <v>TF</v>
      </c>
      <c r="H97" s="3" t="str" cm="1">
        <f t="array" aca="1" ref="H97" ca="1">_xlfn.IFS(COUNTIF($V$3:$V$18, G97)&lt;&gt;0, "S", COUNTIF($W$3:$W$99, G97)&lt;&gt;0, "E", COUNTIF($X$3, G97)&lt;&gt;0, "I", COUNTIF($Y$3:$Y$8, G97)&lt;&gt;0, "W")</f>
        <v>E</v>
      </c>
      <c r="I97" s="3">
        <f ca="1">SUMIF(OFFSET(INDIRECT("B"&amp;$F97), 4, 0):INDIRECT("B"&amp;$F98), "*"&amp;$I$2&amp;"*", OFFSET(INDIRECT("C"&amp;$F97), 4, 0):OFFSET(INDIRECT("C"&amp;$F98), -1, 0))</f>
        <v>407.99999999999994</v>
      </c>
      <c r="J97" s="3">
        <f ca="1">SUMIF(OFFSET(INDIRECT("B"&amp;$F97), 4, 0):INDIRECT("B"&amp;$F98), "*"&amp;$J$2&amp;"*", OFFSET(INDIRECT("C"&amp;$F97), 4, 0):OFFSET(INDIRECT("C"&amp;$F98), -1, 0))</f>
        <v>0</v>
      </c>
      <c r="K97" s="3">
        <f ca="1">SUMIF(OFFSET(INDIRECT("B"&amp;$F97), 4, 0):INDIRECT("B"&amp;$F98), "*"&amp;$K$2&amp;"*", OFFSET(INDIRECT("C"&amp;$F97), 4, 0):OFFSET(INDIRECT("C"&amp;$F98), -1, 0))</f>
        <v>0</v>
      </c>
      <c r="L97" s="3">
        <f ca="1">SUMIF(OFFSET(INDIRECT("B"&amp;$F97), 4, 0):INDIRECT("B"&amp;$F98), "*"&amp;$L$2&amp;"*", OFFSET(INDIRECT("C"&amp;$F97), 4, 0):OFFSET(INDIRECT("C"&amp;$F98), -1, 0))</f>
        <v>38.4</v>
      </c>
      <c r="M97" s="3">
        <f ca="1">SUMIF(OFFSET(INDIRECT("B"&amp;$F97), 4, 0):INDIRECT("B"&amp;$F98), "*"&amp;$M$2&amp;"*", OFFSET(INDIRECT("C"&amp;$F97), 4, 0):OFFSET(INDIRECT("C"&amp;$F98), -1, 0))</f>
        <v>64</v>
      </c>
      <c r="N97" s="3">
        <f ca="1">SUMIF(OFFSET(INDIRECT("B"&amp;$F97), 4, 0):INDIRECT("B"&amp;$F98), "*"&amp;$N$2&amp;"*", OFFSET(INDIRECT("C"&amp;$F97), 4, 0):OFFSET(INDIRECT("C"&amp;$F98), -1, 0))</f>
        <v>0</v>
      </c>
      <c r="O97" s="3">
        <f ca="1">SUMIF(OFFSET(INDIRECT("B"&amp;$F97), 4, 0):INDIRECT("B"&amp;$F98), "*"&amp;$O$2&amp;"*", OFFSET(INDIRECT("C"&amp;$F97), 4, 0):OFFSET(INDIRECT("C"&amp;$F98), -1, 0))</f>
        <v>0</v>
      </c>
      <c r="P97" s="3">
        <f ca="1">SUMIF(OFFSET(INDIRECT("B"&amp;$F97), 4, 0):INDIRECT("B"&amp;$F98), "*"&amp;$P$2&amp;"*", OFFSET(INDIRECT("C"&amp;$F97), 4, 0):OFFSET(INDIRECT("C"&amp;$F98), -1, 0))</f>
        <v>581.20000000000005</v>
      </c>
      <c r="Q97" s="3">
        <f t="shared" ca="1" si="3"/>
        <v>1091.5999999999999</v>
      </c>
      <c r="W97" s="1" t="s">
        <v>112</v>
      </c>
    </row>
    <row r="98" spans="1:23" x14ac:dyDescent="0.25">
      <c r="A98" s="1">
        <f t="shared" si="2"/>
        <v>0</v>
      </c>
      <c r="B98" s="1" t="s">
        <v>53</v>
      </c>
      <c r="C98" s="1">
        <v>28.75</v>
      </c>
      <c r="D98" s="1">
        <v>1</v>
      </c>
      <c r="F98" s="4" cm="1">
        <f t="array" aca="1" ref="F98" ca="1">INDEX(OFFSET(INDIRECT("A"&amp;F97), 1, 0):OFFSET(OFFSET(INDIRECT("A"&amp;F97), 1, 0), 100, 0),MATCH(TRUE,INDEX(OFFSET(INDIRECT("A"&amp;F97), 1, 0):OFFSET(OFFSET(INDIRECT("A"&amp;F97), 1, 0), 100, 0)&lt;&gt;0,),0))</f>
        <v>2328</v>
      </c>
      <c r="G98" s="1" t="str" cm="1">
        <f t="array" aca="1" ref="G98" ca="1">INDIRECT("B"&amp;$F98)</f>
        <v>WR</v>
      </c>
      <c r="H98" s="3" t="str" cm="1">
        <f t="array" aca="1" ref="H98" ca="1">_xlfn.IFS(COUNTIF($V$3:$V$18, G98)&lt;&gt;0, "S", COUNTIF($W$3:$W$99, G98)&lt;&gt;0, "E", COUNTIF($X$3, G98)&lt;&gt;0, "I", COUNTIF($Y$3:$Y$8, G98)&lt;&gt;0, "W")</f>
        <v>E</v>
      </c>
      <c r="I98" s="3">
        <f ca="1">SUMIF(OFFSET(INDIRECT("B"&amp;$F98), 4, 0):INDIRECT("B"&amp;$F99), "*"&amp;$I$2&amp;"*", OFFSET(INDIRECT("C"&amp;$F98), 4, 0):OFFSET(INDIRECT("C"&amp;$F99), -1, 0))</f>
        <v>284.39999999999998</v>
      </c>
      <c r="J98" s="3">
        <f ca="1">SUMIF(OFFSET(INDIRECT("B"&amp;$F98), 4, 0):INDIRECT("B"&amp;$F99), "*"&amp;$J$2&amp;"*", OFFSET(INDIRECT("C"&amp;$F98), 4, 0):OFFSET(INDIRECT("C"&amp;$F99), -1, 0))</f>
        <v>0</v>
      </c>
      <c r="K98" s="3">
        <f ca="1">SUMIF(OFFSET(INDIRECT("B"&amp;$F98), 4, 0):INDIRECT("B"&amp;$F99), "*"&amp;$K$2&amp;"*", OFFSET(INDIRECT("C"&amp;$F98), 4, 0):OFFSET(INDIRECT("C"&amp;$F99), -1, 0))</f>
        <v>0</v>
      </c>
      <c r="L98" s="3">
        <f ca="1">SUMIF(OFFSET(INDIRECT("B"&amp;$F98), 4, 0):INDIRECT("B"&amp;$F99), "*"&amp;$L$2&amp;"*", OFFSET(INDIRECT("C"&amp;$F98), 4, 0):OFFSET(INDIRECT("C"&amp;$F99), -1, 0))</f>
        <v>54.8</v>
      </c>
      <c r="M98" s="3">
        <f ca="1">SUMIF(OFFSET(INDIRECT("B"&amp;$F98), 4, 0):INDIRECT("B"&amp;$F99), "*"&amp;$M$2&amp;"*", OFFSET(INDIRECT("C"&amp;$F98), 4, 0):OFFSET(INDIRECT("C"&amp;$F99), -1, 0))</f>
        <v>168</v>
      </c>
      <c r="N98" s="3">
        <f ca="1">SUMIF(OFFSET(INDIRECT("B"&amp;$F98), 4, 0):INDIRECT("B"&amp;$F99), "*"&amp;$N$2&amp;"*", OFFSET(INDIRECT("C"&amp;$F98), 4, 0):OFFSET(INDIRECT("C"&amp;$F99), -1, 0))</f>
        <v>0</v>
      </c>
      <c r="O98" s="3">
        <f ca="1">SUMIF(OFFSET(INDIRECT("B"&amp;$F98), 4, 0):INDIRECT("B"&amp;$F99), "*"&amp;$O$2&amp;"*", OFFSET(INDIRECT("C"&amp;$F98), 4, 0):OFFSET(INDIRECT("C"&amp;$F99), -1, 0))</f>
        <v>0</v>
      </c>
      <c r="P98" s="3">
        <f ca="1">SUMIF(OFFSET(INDIRECT("B"&amp;$F98), 4, 0):INDIRECT("B"&amp;$F99), "*"&amp;$P$2&amp;"*", OFFSET(INDIRECT("C"&amp;$F98), 4, 0):OFFSET(INDIRECT("C"&amp;$F99), -1, 0))</f>
        <v>38.4</v>
      </c>
      <c r="Q98" s="3">
        <f t="shared" ca="1" si="3"/>
        <v>545.6</v>
      </c>
      <c r="W98" s="1" t="s">
        <v>157</v>
      </c>
    </row>
    <row r="99" spans="1:23" x14ac:dyDescent="0.25">
      <c r="A99" s="1">
        <f t="shared" si="2"/>
        <v>0</v>
      </c>
      <c r="B99" s="1" t="s">
        <v>10</v>
      </c>
      <c r="C99" s="1">
        <v>76.8</v>
      </c>
      <c r="D99" s="1">
        <v>2</v>
      </c>
      <c r="F99" s="4" cm="1">
        <f t="array" aca="1" ref="F99" ca="1">INDEX(OFFSET(INDIRECT("A"&amp;F98), 1, 0):OFFSET(OFFSET(INDIRECT("A"&amp;F98), 1, 0), 100, 0),MATCH(TRUE,INDEX(OFFSET(INDIRECT("A"&amp;F98), 1, 0):OFFSET(OFFSET(INDIRECT("A"&amp;F98), 1, 0), 100, 0)&lt;&gt;0,),0))</f>
        <v>2342</v>
      </c>
      <c r="G99" s="1" t="str" cm="1">
        <f t="array" aca="1" ref="G99" ca="1">INDIRECT("B"&amp;$F99)</f>
        <v>HU</v>
      </c>
      <c r="H99" s="3" t="str" cm="1">
        <f t="array" aca="1" ref="H99" ca="1">_xlfn.IFS(COUNTIF($V$3:$V$18, G99)&lt;&gt;0, "S", COUNTIF($W$3:$W$99, G99)&lt;&gt;0, "E", COUNTIF($X$3, G99)&lt;&gt;0, "I", COUNTIF($Y$3:$Y$8, G99)&lt;&gt;0, "W")</f>
        <v>E</v>
      </c>
      <c r="I99" s="3">
        <f ca="1">SUMIF(OFFSET(INDIRECT("B"&amp;$F99), 4, 0):INDIRECT("B"&amp;$F100), "*"&amp;$I$2&amp;"*", OFFSET(INDIRECT("C"&amp;$F99), 4, 0):OFFSET(INDIRECT("C"&amp;$F100), -1, 0))</f>
        <v>1033.5999999999999</v>
      </c>
      <c r="J99" s="3">
        <f ca="1">SUMIF(OFFSET(INDIRECT("B"&amp;$F99), 4, 0):INDIRECT("B"&amp;$F100), "*"&amp;$J$2&amp;"*", OFFSET(INDIRECT("C"&amp;$F99), 4, 0):OFFSET(INDIRECT("C"&amp;$F100), -1, 0))</f>
        <v>88.35</v>
      </c>
      <c r="K99" s="3">
        <f ca="1">SUMIF(OFFSET(INDIRECT("B"&amp;$F99), 4, 0):INDIRECT("B"&amp;$F100), "*"&amp;$K$2&amp;"*", OFFSET(INDIRECT("C"&amp;$F99), 4, 0):OFFSET(INDIRECT("C"&amp;$F100), -1, 0))</f>
        <v>54.8</v>
      </c>
      <c r="L99" s="3">
        <f ca="1">SUMIF(OFFSET(INDIRECT("B"&amp;$F99), 4, 0):INDIRECT("B"&amp;$F100), "*"&amp;$L$2&amp;"*", OFFSET(INDIRECT("C"&amp;$F99), 4, 0):OFFSET(INDIRECT("C"&amp;$F100), -1, 0))</f>
        <v>0</v>
      </c>
      <c r="M99" s="3">
        <f ca="1">SUMIF(OFFSET(INDIRECT("B"&amp;$F99), 4, 0):INDIRECT("B"&amp;$F100), "*"&amp;$M$2&amp;"*", OFFSET(INDIRECT("C"&amp;$F99), 4, 0):OFFSET(INDIRECT("C"&amp;$F100), -1, 0))</f>
        <v>38.4</v>
      </c>
      <c r="N99" s="3">
        <f ca="1">SUMIF(OFFSET(INDIRECT("B"&amp;$F99), 4, 0):INDIRECT("B"&amp;$F100), "*"&amp;$N$2&amp;"*", OFFSET(INDIRECT("C"&amp;$F99), 4, 0):OFFSET(INDIRECT("C"&amp;$F100), -1, 0))</f>
        <v>28.75</v>
      </c>
      <c r="O99" s="3">
        <f ca="1">SUMIF(OFFSET(INDIRECT("B"&amp;$F99), 4, 0):INDIRECT("B"&amp;$F100), "*"&amp;$O$2&amp;"*", OFFSET(INDIRECT("C"&amp;$F99), 4, 0):OFFSET(INDIRECT("C"&amp;$F100), -1, 0))</f>
        <v>0</v>
      </c>
      <c r="P99" s="3">
        <f ca="1">SUMIF(OFFSET(INDIRECT("B"&amp;$F99), 4, 0):INDIRECT("B"&amp;$F100), "*"&amp;$P$2&amp;"*", OFFSET(INDIRECT("C"&amp;$F99), 4, 0):OFFSET(INDIRECT("C"&amp;$F100), -1, 0))</f>
        <v>88.35</v>
      </c>
      <c r="Q99" s="3">
        <f t="shared" ca="1" si="3"/>
        <v>1332.2499999999998</v>
      </c>
      <c r="W99" s="1" t="s">
        <v>141</v>
      </c>
    </row>
    <row r="100" spans="1:23" x14ac:dyDescent="0.25">
      <c r="A100" s="1">
        <f t="shared" si="2"/>
        <v>0</v>
      </c>
      <c r="B100" s="1" t="s">
        <v>41</v>
      </c>
      <c r="C100" s="1">
        <v>57.5</v>
      </c>
      <c r="D100" s="1">
        <v>2</v>
      </c>
      <c r="F100" s="4" cm="1">
        <f t="array" aca="1" ref="F100" ca="1">INDEX(OFFSET(INDIRECT("A"&amp;F99), 1, 0):OFFSET(OFFSET(INDIRECT("A"&amp;F99), 1, 0), 100, 0),MATCH(TRUE,INDEX(OFFSET(INDIRECT("A"&amp;F99), 1, 0):OFFSET(OFFSET(INDIRECT("A"&amp;F99), 1, 0), 100, 0)&lt;&gt;0,),0))</f>
        <v>2362</v>
      </c>
      <c r="G100" s="1" t="str" cm="1">
        <f t="array" aca="1" ref="G100" ca="1">INDIRECT("B"&amp;$F100)</f>
        <v>RH</v>
      </c>
      <c r="H100" s="3" t="str" cm="1">
        <f t="array" aca="1" ref="H100" ca="1">_xlfn.IFS(COUNTIF($V$3:$V$18, G100)&lt;&gt;0, "S", COUNTIF($W$3:$W$99, G100)&lt;&gt;0, "E", COUNTIF($X$3, G100)&lt;&gt;0, "I", COUNTIF($Y$3:$Y$8, G100)&lt;&gt;0, "W")</f>
        <v>E</v>
      </c>
      <c r="I100" s="3">
        <f ca="1">SUMIF(OFFSET(INDIRECT("B"&amp;$F100), 4, 0):INDIRECT("B"&amp;$F101), "*"&amp;$I$2&amp;"*", OFFSET(INDIRECT("C"&amp;$F100), 4, 0):OFFSET(INDIRECT("C"&amp;$F101), -1, 0))</f>
        <v>1428.8</v>
      </c>
      <c r="J100" s="3">
        <f ca="1">SUMIF(OFFSET(INDIRECT("B"&amp;$F100), 4, 0):INDIRECT("B"&amp;$F101), "*"&amp;$J$2&amp;"*", OFFSET(INDIRECT("C"&amp;$F100), 4, 0):OFFSET(INDIRECT("C"&amp;$F101), -1, 0))</f>
        <v>0</v>
      </c>
      <c r="K100" s="3">
        <f ca="1">SUMIF(OFFSET(INDIRECT("B"&amp;$F100), 4, 0):INDIRECT("B"&amp;$F101), "*"&amp;$K$2&amp;"*", OFFSET(INDIRECT("C"&amp;$F100), 4, 0):OFFSET(INDIRECT("C"&amp;$F101), -1, 0))</f>
        <v>0</v>
      </c>
      <c r="L100" s="3">
        <f ca="1">SUMIF(OFFSET(INDIRECT("B"&amp;$F100), 4, 0):INDIRECT("B"&amp;$F101), "*"&amp;$L$2&amp;"*", OFFSET(INDIRECT("C"&amp;$F100), 4, 0):OFFSET(INDIRECT("C"&amp;$F101), -1, 0))</f>
        <v>109.6</v>
      </c>
      <c r="M100" s="3">
        <f ca="1">SUMIF(OFFSET(INDIRECT("B"&amp;$F100), 4, 0):INDIRECT("B"&amp;$F101), "*"&amp;$M$2&amp;"*", OFFSET(INDIRECT("C"&amp;$F100), 4, 0):OFFSET(INDIRECT("C"&amp;$F101), -1, 0))</f>
        <v>102.4</v>
      </c>
      <c r="N100" s="3">
        <f ca="1">SUMIF(OFFSET(INDIRECT("B"&amp;$F100), 4, 0):INDIRECT("B"&amp;$F101), "*"&amp;$N$2&amp;"*", OFFSET(INDIRECT("C"&amp;$F100), 4, 0):OFFSET(INDIRECT("C"&amp;$F101), -1, 0))</f>
        <v>38.4</v>
      </c>
      <c r="O100" s="3">
        <f ca="1">SUMIF(OFFSET(INDIRECT("B"&amp;$F100), 4, 0):INDIRECT("B"&amp;$F101), "*"&amp;$O$2&amp;"*", OFFSET(INDIRECT("C"&amp;$F100), 4, 0):OFFSET(INDIRECT("C"&amp;$F101), -1, 0))</f>
        <v>104</v>
      </c>
      <c r="P100" s="3">
        <f ca="1">SUMIF(OFFSET(INDIRECT("B"&amp;$F100), 4, 0):INDIRECT("B"&amp;$F101), "*"&amp;$P$2&amp;"*", OFFSET(INDIRECT("C"&amp;$F100), 4, 0):OFFSET(INDIRECT("C"&amp;$F101), -1, 0))</f>
        <v>134.30000000000001</v>
      </c>
      <c r="Q100" s="3">
        <f t="shared" ca="1" si="3"/>
        <v>1917.5</v>
      </c>
    </row>
    <row r="101" spans="1:23" x14ac:dyDescent="0.25">
      <c r="A101" s="1">
        <f t="shared" si="2"/>
        <v>0</v>
      </c>
      <c r="B101" s="1" t="s">
        <v>54</v>
      </c>
      <c r="C101" s="1">
        <v>76.8</v>
      </c>
      <c r="D101" s="1">
        <v>2</v>
      </c>
      <c r="F101" s="4" cm="1">
        <f t="array" aca="1" ref="F101" ca="1">INDEX(OFFSET(INDIRECT("A"&amp;F100), 1, 0):OFFSET(OFFSET(INDIRECT("A"&amp;F100), 1, 0), 100, 0),MATCH(TRUE,INDEX(OFFSET(INDIRECT("A"&amp;F100), 1, 0):OFFSET(OFFSET(INDIRECT("A"&amp;F100), 1, 0), 100, 0)&lt;&gt;0,),0))</f>
        <v>2384</v>
      </c>
      <c r="G101" s="1" t="str" cm="1">
        <f t="array" aca="1" ref="G101" ca="1">INDIRECT("B"&amp;$F101)</f>
        <v>SA</v>
      </c>
      <c r="H101" s="3" t="str" cm="1">
        <f t="array" aca="1" ref="H101" ca="1">_xlfn.IFS(COUNTIF($V$3:$V$18, G101)&lt;&gt;0, "S", COUNTIF($W$3:$W$99, G101)&lt;&gt;0, "E", COUNTIF($X$3, G101)&lt;&gt;0, "I", COUNTIF($Y$3:$Y$8, G101)&lt;&gt;0, "W")</f>
        <v>W</v>
      </c>
      <c r="I101" s="3">
        <f ca="1">SUMIF(OFFSET(INDIRECT("B"&amp;$F101), 4, 0):INDIRECT("B"&amp;$F102), "*"&amp;$I$2&amp;"*", OFFSET(INDIRECT("C"&amp;$F101), 4, 0):OFFSET(INDIRECT("C"&amp;$F102), -1, 0))</f>
        <v>309.2</v>
      </c>
      <c r="J101" s="3">
        <f ca="1">SUMIF(OFFSET(INDIRECT("B"&amp;$F101), 4, 0):INDIRECT("B"&amp;$F102), "*"&amp;$J$2&amp;"*", OFFSET(INDIRECT("C"&amp;$F101), 4, 0):OFFSET(INDIRECT("C"&amp;$F102), -1, 0))</f>
        <v>0</v>
      </c>
      <c r="K101" s="3">
        <f ca="1">SUMIF(OFFSET(INDIRECT("B"&amp;$F101), 4, 0):INDIRECT("B"&amp;$F102), "*"&amp;$K$2&amp;"*", OFFSET(INDIRECT("C"&amp;$F101), 4, 0):OFFSET(INDIRECT("C"&amp;$F102), -1, 0))</f>
        <v>28.75</v>
      </c>
      <c r="L101" s="3">
        <f ca="1">SUMIF(OFFSET(INDIRECT("B"&amp;$F101), 4, 0):INDIRECT("B"&amp;$F102), "*"&amp;$L$2&amp;"*", OFFSET(INDIRECT("C"&amp;$F101), 4, 0):OFFSET(INDIRECT("C"&amp;$F102), -1, 0))</f>
        <v>70.789999999999992</v>
      </c>
      <c r="M101" s="3">
        <f ca="1">SUMIF(OFFSET(INDIRECT("B"&amp;$F101), 4, 0):INDIRECT("B"&amp;$F102), "*"&amp;$M$2&amp;"*", OFFSET(INDIRECT("C"&amp;$F101), 4, 0):OFFSET(INDIRECT("C"&amp;$F102), -1, 0))</f>
        <v>38.4</v>
      </c>
      <c r="N101" s="3">
        <f ca="1">SUMIF(OFFSET(INDIRECT("B"&amp;$F101), 4, 0):INDIRECT("B"&amp;$F102), "*"&amp;$N$2&amp;"*", OFFSET(INDIRECT("C"&amp;$F101), 4, 0):OFFSET(INDIRECT("C"&amp;$F102), -1, 0))</f>
        <v>38.4</v>
      </c>
      <c r="O101" s="3">
        <f ca="1">SUMIF(OFFSET(INDIRECT("B"&amp;$F101), 4, 0):INDIRECT("B"&amp;$F102), "*"&amp;$O$2&amp;"*", OFFSET(INDIRECT("C"&amp;$F101), 4, 0):OFFSET(INDIRECT("C"&amp;$F102), -1, 0))</f>
        <v>102.4</v>
      </c>
      <c r="P101" s="3">
        <f ca="1">SUMIF(OFFSET(INDIRECT("B"&amp;$F101), 4, 0):INDIRECT("B"&amp;$F102), "*"&amp;$P$2&amp;"*", OFFSET(INDIRECT("C"&amp;$F101), 4, 0):OFFSET(INDIRECT("C"&amp;$F102), -1, 0))</f>
        <v>143.94999999999999</v>
      </c>
      <c r="Q101" s="3">
        <f t="shared" ca="1" si="3"/>
        <v>731.88999999999987</v>
      </c>
    </row>
    <row r="102" spans="1:23" x14ac:dyDescent="0.25">
      <c r="A102" s="1">
        <f t="shared" si="2"/>
        <v>0</v>
      </c>
      <c r="B102" s="1" t="s">
        <v>55</v>
      </c>
      <c r="C102" s="1">
        <v>38.4</v>
      </c>
      <c r="D102" s="1">
        <v>1</v>
      </c>
      <c r="F102" s="4" cm="1">
        <f t="array" aca="1" ref="F102" ca="1">INDEX(OFFSET(INDIRECT("A"&amp;F101), 1, 0):OFFSET(OFFSET(INDIRECT("A"&amp;F101), 1, 0), 100, 0),MATCH(TRUE,INDEX(OFFSET(INDIRECT("A"&amp;F101), 1, 0):OFFSET(OFFSET(INDIRECT("A"&amp;F101), 1, 0), 100, 0)&lt;&gt;0,),0))</f>
        <v>2405</v>
      </c>
      <c r="G102" s="1" t="str" cm="1">
        <f t="array" aca="1" ref="G102" ca="1">INDIRECT("B"&amp;$F102)</f>
        <v>TQ</v>
      </c>
      <c r="H102" s="3" t="str" cm="1">
        <f t="array" aca="1" ref="H102" ca="1">_xlfn.IFS(COUNTIF($V$3:$V$18, G102)&lt;&gt;0, "S", COUNTIF($W$3:$W$99, G102)&lt;&gt;0, "E", COUNTIF($X$3, G102)&lt;&gt;0, "I", COUNTIF($Y$3:$Y$8, G102)&lt;&gt;0, "W")</f>
        <v>E</v>
      </c>
      <c r="I102" s="3">
        <f ca="1">SUMIF(OFFSET(INDIRECT("B"&amp;$F102), 4, 0):INDIRECT("B"&amp;$F103), "*"&amp;$I$2&amp;"*", OFFSET(INDIRECT("C"&amp;$F102), 4, 0):OFFSET(INDIRECT("C"&amp;$F103), -1, 0))</f>
        <v>93.199999999999989</v>
      </c>
      <c r="J102" s="3">
        <f ca="1">SUMIF(OFFSET(INDIRECT("B"&amp;$F102), 4, 0):INDIRECT("B"&amp;$F103), "*"&amp;$J$2&amp;"*", OFFSET(INDIRECT("C"&amp;$F102), 4, 0):OFFSET(INDIRECT("C"&amp;$F103), -1, 0))</f>
        <v>0</v>
      </c>
      <c r="K102" s="3">
        <f ca="1">SUMIF(OFFSET(INDIRECT("B"&amp;$F102), 4, 0):INDIRECT("B"&amp;$F103), "*"&amp;$K$2&amp;"*", OFFSET(INDIRECT("C"&amp;$F102), 4, 0):OFFSET(INDIRECT("C"&amp;$F103), -1, 0))</f>
        <v>0</v>
      </c>
      <c r="L102" s="3">
        <f ca="1">SUMIF(OFFSET(INDIRECT("B"&amp;$F102), 4, 0):INDIRECT("B"&amp;$F103), "*"&amp;$L$2&amp;"*", OFFSET(INDIRECT("C"&amp;$F102), 4, 0):OFFSET(INDIRECT("C"&amp;$F103), -1, 0))</f>
        <v>0</v>
      </c>
      <c r="M102" s="3">
        <f ca="1">SUMIF(OFFSET(INDIRECT("B"&amp;$F102), 4, 0):INDIRECT("B"&amp;$F103), "*"&amp;$M$2&amp;"*", OFFSET(INDIRECT("C"&amp;$F102), 4, 0):OFFSET(INDIRECT("C"&amp;$F103), -1, 0))</f>
        <v>0</v>
      </c>
      <c r="N102" s="3">
        <f ca="1">SUMIF(OFFSET(INDIRECT("B"&amp;$F102), 4, 0):INDIRECT("B"&amp;$F103), "*"&amp;$N$2&amp;"*", OFFSET(INDIRECT("C"&amp;$F102), 4, 0):OFFSET(INDIRECT("C"&amp;$F103), -1, 0))</f>
        <v>0</v>
      </c>
      <c r="O102" s="3">
        <f ca="1">SUMIF(OFFSET(INDIRECT("B"&amp;$F102), 4, 0):INDIRECT("B"&amp;$F103), "*"&amp;$O$2&amp;"*", OFFSET(INDIRECT("C"&amp;$F102), 4, 0):OFFSET(INDIRECT("C"&amp;$F103), -1, 0))</f>
        <v>0</v>
      </c>
      <c r="P102" s="3">
        <f ca="1">SUMIF(OFFSET(INDIRECT("B"&amp;$F102), 4, 0):INDIRECT("B"&amp;$F103), "*"&amp;$P$2&amp;"*", OFFSET(INDIRECT("C"&amp;$F102), 4, 0):OFFSET(INDIRECT("C"&amp;$F103), -1, 0))</f>
        <v>76.8</v>
      </c>
      <c r="Q102" s="3">
        <f t="shared" ca="1" si="3"/>
        <v>170</v>
      </c>
    </row>
    <row r="103" spans="1:23" x14ac:dyDescent="0.25">
      <c r="A103" s="1">
        <f t="shared" si="2"/>
        <v>0</v>
      </c>
      <c r="B103" s="1" t="s">
        <v>56</v>
      </c>
      <c r="C103" s="1">
        <v>38.4</v>
      </c>
      <c r="D103" s="1">
        <v>1</v>
      </c>
      <c r="F103" s="4" cm="1">
        <f t="array" aca="1" ref="F103" ca="1">INDEX(OFFSET(INDIRECT("A"&amp;F102), 1, 0):OFFSET(OFFSET(INDIRECT("A"&amp;F102), 1, 0), 100, 0),MATCH(TRUE,INDEX(OFFSET(INDIRECT("A"&amp;F102), 1, 0):OFFSET(OFFSET(INDIRECT("A"&amp;F102), 1, 0), 100, 0)&lt;&gt;0,),0))</f>
        <v>2415</v>
      </c>
      <c r="G103" s="1" t="str" cm="1">
        <f t="array" aca="1" ref="G103" ca="1">INDIRECT("B"&amp;$F103)</f>
        <v>HX</v>
      </c>
      <c r="H103" s="3" t="str" cm="1">
        <f t="array" aca="1" ref="H103" ca="1">_xlfn.IFS(COUNTIF($V$3:$V$18, G103)&lt;&gt;0, "S", COUNTIF($W$3:$W$99, G103)&lt;&gt;0, "E", COUNTIF($X$3, G103)&lt;&gt;0, "I", COUNTIF($Y$3:$Y$8, G103)&lt;&gt;0, "W")</f>
        <v>E</v>
      </c>
      <c r="I103" s="3">
        <f ca="1">SUMIF(OFFSET(INDIRECT("B"&amp;$F103), 4, 0):INDIRECT("B"&amp;$F104), "*"&amp;$I$2&amp;"*", OFFSET(INDIRECT("C"&amp;$F103), 4, 0):OFFSET(INDIRECT("C"&amp;$F104), -1, 0))</f>
        <v>570</v>
      </c>
      <c r="J103" s="3">
        <f ca="1">SUMIF(OFFSET(INDIRECT("B"&amp;$F103), 4, 0):INDIRECT("B"&amp;$F104), "*"&amp;$J$2&amp;"*", OFFSET(INDIRECT("C"&amp;$F103), 4, 0):OFFSET(INDIRECT("C"&amp;$F104), -1, 0))</f>
        <v>38.4</v>
      </c>
      <c r="K103" s="3">
        <f ca="1">SUMIF(OFFSET(INDIRECT("B"&amp;$F103), 4, 0):INDIRECT("B"&amp;$F104), "*"&amp;$K$2&amp;"*", OFFSET(INDIRECT("C"&amp;$F103), 4, 0):OFFSET(INDIRECT("C"&amp;$F104), -1, 0))</f>
        <v>28.75</v>
      </c>
      <c r="L103" s="3">
        <f ca="1">SUMIF(OFFSET(INDIRECT("B"&amp;$F103), 4, 0):INDIRECT("B"&amp;$F104), "*"&amp;$L$2&amp;"*", OFFSET(INDIRECT("C"&amp;$F103), 4, 0):OFFSET(INDIRECT("C"&amp;$F104), -1, 0))</f>
        <v>93.199999999999989</v>
      </c>
      <c r="M103" s="3">
        <f ca="1">SUMIF(OFFSET(INDIRECT("B"&amp;$F103), 4, 0):INDIRECT("B"&amp;$F104), "*"&amp;$M$2&amp;"*", OFFSET(INDIRECT("C"&amp;$F103), 4, 0):OFFSET(INDIRECT("C"&amp;$F104), -1, 0))</f>
        <v>38.4</v>
      </c>
      <c r="N103" s="3">
        <f ca="1">SUMIF(OFFSET(INDIRECT("B"&amp;$F103), 4, 0):INDIRECT("B"&amp;$F104), "*"&amp;$N$2&amp;"*", OFFSET(INDIRECT("C"&amp;$F103), 4, 0):OFFSET(INDIRECT("C"&amp;$F104), -1, 0))</f>
        <v>28.75</v>
      </c>
      <c r="O103" s="3">
        <f ca="1">SUMIF(OFFSET(INDIRECT("B"&amp;$F103), 4, 0):INDIRECT("B"&amp;$F104), "*"&amp;$O$2&amp;"*", OFFSET(INDIRECT("C"&amp;$F103), 4, 0):OFFSET(INDIRECT("C"&amp;$F104), -1, 0))</f>
        <v>0</v>
      </c>
      <c r="P103" s="3">
        <f ca="1">SUMIF(OFFSET(INDIRECT("B"&amp;$F103), 4, 0):INDIRECT("B"&amp;$F104), "*"&amp;$P$2&amp;"*", OFFSET(INDIRECT("C"&amp;$F103), 4, 0):OFFSET(INDIRECT("C"&amp;$F104), -1, 0))</f>
        <v>67.150000000000006</v>
      </c>
      <c r="Q103" s="3">
        <f t="shared" ca="1" si="3"/>
        <v>864.64999999999986</v>
      </c>
    </row>
    <row r="104" spans="1:23" x14ac:dyDescent="0.25">
      <c r="A104" s="1">
        <f t="shared" si="2"/>
        <v>0</v>
      </c>
      <c r="B104" s="1" t="s">
        <v>20</v>
      </c>
      <c r="C104" s="1">
        <v>115.2</v>
      </c>
      <c r="D104" s="1">
        <v>3</v>
      </c>
      <c r="F104" s="4" cm="1">
        <f t="array" aca="1" ref="F104" ca="1">INDEX(OFFSET(INDIRECT("A"&amp;F103), 1, 0):OFFSET(OFFSET(INDIRECT("A"&amp;F103), 1, 0), 100, 0),MATCH(TRUE,INDEX(OFFSET(INDIRECT("A"&amp;F103), 1, 0):OFFSET(OFFSET(INDIRECT("A"&amp;F103), 1, 0), 100, 0)&lt;&gt;0,),0))</f>
        <v>2433</v>
      </c>
      <c r="G104" s="1" t="str" cm="1">
        <f t="array" aca="1" ref="G104" ca="1">INDIRECT("B"&amp;$F104)</f>
        <v>WF</v>
      </c>
      <c r="H104" s="3" t="str" cm="1">
        <f t="array" aca="1" ref="H104" ca="1">_xlfn.IFS(COUNTIF($V$3:$V$18, G104)&lt;&gt;0, "S", COUNTIF($W$3:$W$99, G104)&lt;&gt;0, "E", COUNTIF($X$3, G104)&lt;&gt;0, "I", COUNTIF($Y$3:$Y$8, G104)&lt;&gt;0, "W")</f>
        <v>E</v>
      </c>
      <c r="I104" s="3">
        <f ca="1">SUMIF(OFFSET(INDIRECT("B"&amp;$F104), 4, 0):INDIRECT("B"&amp;$F105), "*"&amp;$I$2&amp;"*", OFFSET(INDIRECT("C"&amp;$F104), 4, 0):OFFSET(INDIRECT("C"&amp;$F105), -1, 0))</f>
        <v>941.19999999999993</v>
      </c>
      <c r="J104" s="3">
        <f ca="1">SUMIF(OFFSET(INDIRECT("B"&amp;$F104), 4, 0):INDIRECT("B"&amp;$F105), "*"&amp;$J$2&amp;"*", OFFSET(INDIRECT("C"&amp;$F104), 4, 0):OFFSET(INDIRECT("C"&amp;$F105), -1, 0))</f>
        <v>40</v>
      </c>
      <c r="K104" s="3">
        <f ca="1">SUMIF(OFFSET(INDIRECT("B"&amp;$F104), 4, 0):INDIRECT("B"&amp;$F105), "*"&amp;$K$2&amp;"*", OFFSET(INDIRECT("C"&amp;$F104), 4, 0):OFFSET(INDIRECT("C"&amp;$F105), -1, 0))</f>
        <v>0</v>
      </c>
      <c r="L104" s="3">
        <f ca="1">SUMIF(OFFSET(INDIRECT("B"&amp;$F104), 4, 0):INDIRECT("B"&amp;$F105), "*"&amp;$L$2&amp;"*", OFFSET(INDIRECT("C"&amp;$F104), 4, 0):OFFSET(INDIRECT("C"&amp;$F105), -1, 0))</f>
        <v>38.4</v>
      </c>
      <c r="M104" s="3">
        <f ca="1">SUMIF(OFFSET(INDIRECT("B"&amp;$F104), 4, 0):INDIRECT("B"&amp;$F105), "*"&amp;$M$2&amp;"*", OFFSET(INDIRECT("C"&amp;$F104), 4, 0):OFFSET(INDIRECT("C"&amp;$F105), -1, 0))</f>
        <v>54.8</v>
      </c>
      <c r="N104" s="3">
        <f ca="1">SUMIF(OFFSET(INDIRECT("B"&amp;$F104), 4, 0):INDIRECT("B"&amp;$F105), "*"&amp;$N$2&amp;"*", OFFSET(INDIRECT("C"&amp;$F104), 4, 0):OFFSET(INDIRECT("C"&amp;$F105), -1, 0))</f>
        <v>57.5</v>
      </c>
      <c r="O104" s="3">
        <f ca="1">SUMIF(OFFSET(INDIRECT("B"&amp;$F104), 4, 0):INDIRECT("B"&amp;$F105), "*"&amp;$O$2&amp;"*", OFFSET(INDIRECT("C"&amp;$F104), 4, 0):OFFSET(INDIRECT("C"&amp;$F105), -1, 0))</f>
        <v>0</v>
      </c>
      <c r="P104" s="3">
        <f ca="1">SUMIF(OFFSET(INDIRECT("B"&amp;$F104), 4, 0):INDIRECT("B"&amp;$F105), "*"&amp;$P$2&amp;"*", OFFSET(INDIRECT("C"&amp;$F104), 4, 0):OFFSET(INDIRECT("C"&amp;$F105), -1, 0))</f>
        <v>468.7</v>
      </c>
      <c r="Q104" s="3">
        <f t="shared" ca="1" si="3"/>
        <v>1600.6</v>
      </c>
    </row>
    <row r="105" spans="1:23" x14ac:dyDescent="0.25">
      <c r="A105" s="1">
        <f t="shared" si="2"/>
        <v>0</v>
      </c>
      <c r="B105" s="1" t="s">
        <v>36</v>
      </c>
      <c r="C105" s="1">
        <v>72.959999999999994</v>
      </c>
      <c r="D105" s="1">
        <v>2</v>
      </c>
      <c r="F105" s="4" cm="1">
        <f t="array" aca="1" ref="F105" ca="1">INDEX(OFFSET(INDIRECT("A"&amp;F104), 1, 0):OFFSET(OFFSET(INDIRECT("A"&amp;F104), 1, 0), 100, 0),MATCH(TRUE,INDEX(OFFSET(INDIRECT("A"&amp;F104), 1, 0):OFFSET(OFFSET(INDIRECT("A"&amp;F104), 1, 0), 100, 0)&lt;&gt;0,),0))</f>
        <v>2456</v>
      </c>
      <c r="G105" s="1" t="str" cm="1">
        <f t="array" aca="1" ref="G105" ca="1">INDIRECT("B"&amp;$F105)</f>
        <v>TR</v>
      </c>
      <c r="H105" s="3" t="str" cm="1">
        <f t="array" aca="1" ref="H105" ca="1">_xlfn.IFS(COUNTIF($V$3:$V$18, G105)&lt;&gt;0, "S", COUNTIF($W$3:$W$99, G105)&lt;&gt;0, "E", COUNTIF($X$3, G105)&lt;&gt;0, "I", COUNTIF($Y$3:$Y$8, G105)&lt;&gt;0, "W")</f>
        <v>E</v>
      </c>
      <c r="I105" s="3">
        <f ca="1">SUMIF(OFFSET(INDIRECT("B"&amp;$F105), 4, 0):INDIRECT("B"&amp;$F106), "*"&amp;$I$2&amp;"*", OFFSET(INDIRECT("C"&amp;$F105), 4, 0):OFFSET(INDIRECT("C"&amp;$F106), -1, 0))</f>
        <v>401.6</v>
      </c>
      <c r="J105" s="3">
        <f ca="1">SUMIF(OFFSET(INDIRECT("B"&amp;$F105), 4, 0):INDIRECT("B"&amp;$F106), "*"&amp;$J$2&amp;"*", OFFSET(INDIRECT("C"&amp;$F105), 4, 0):OFFSET(INDIRECT("C"&amp;$F106), -1, 0))</f>
        <v>0</v>
      </c>
      <c r="K105" s="3">
        <f ca="1">SUMIF(OFFSET(INDIRECT("B"&amp;$F105), 4, 0):INDIRECT("B"&amp;$F106), "*"&amp;$K$2&amp;"*", OFFSET(INDIRECT("C"&amp;$F105), 4, 0):OFFSET(INDIRECT("C"&amp;$F106), -1, 0))</f>
        <v>0</v>
      </c>
      <c r="L105" s="3">
        <f ca="1">SUMIF(OFFSET(INDIRECT("B"&amp;$F105), 4, 0):INDIRECT("B"&amp;$F106), "*"&amp;$L$2&amp;"*", OFFSET(INDIRECT("C"&amp;$F105), 4, 0):OFFSET(INDIRECT("C"&amp;$F106), -1, 0))</f>
        <v>131.6</v>
      </c>
      <c r="M105" s="3">
        <f ca="1">SUMIF(OFFSET(INDIRECT("B"&amp;$F105), 4, 0):INDIRECT("B"&amp;$F106), "*"&amp;$M$2&amp;"*", OFFSET(INDIRECT("C"&amp;$F105), 4, 0):OFFSET(INDIRECT("C"&amp;$F106), -1, 0))</f>
        <v>192</v>
      </c>
      <c r="N105" s="3">
        <f ca="1">SUMIF(OFFSET(INDIRECT("B"&amp;$F105), 4, 0):INDIRECT("B"&amp;$F106), "*"&amp;$N$2&amp;"*", OFFSET(INDIRECT("C"&amp;$F105), 4, 0):OFFSET(INDIRECT("C"&amp;$F106), -1, 0))</f>
        <v>0</v>
      </c>
      <c r="O105" s="3">
        <f ca="1">SUMIF(OFFSET(INDIRECT("B"&amp;$F105), 4, 0):INDIRECT("B"&amp;$F106), "*"&amp;$O$2&amp;"*", OFFSET(INDIRECT("C"&amp;$F105), 4, 0):OFFSET(INDIRECT("C"&amp;$F106), -1, 0))</f>
        <v>0</v>
      </c>
      <c r="P105" s="3">
        <f ca="1">SUMIF(OFFSET(INDIRECT("B"&amp;$F105), 4, 0):INDIRECT("B"&amp;$F106), "*"&amp;$P$2&amp;"*", OFFSET(INDIRECT("C"&amp;$F105), 4, 0):OFFSET(INDIRECT("C"&amp;$F106), -1, 0))</f>
        <v>94.8</v>
      </c>
      <c r="Q105" s="3">
        <f t="shared" ca="1" si="3"/>
        <v>820</v>
      </c>
    </row>
    <row r="106" spans="1:23" x14ac:dyDescent="0.25">
      <c r="A106" s="1">
        <f t="shared" si="2"/>
        <v>0</v>
      </c>
      <c r="B106" s="1" t="s">
        <v>11</v>
      </c>
      <c r="C106" s="1">
        <v>40</v>
      </c>
      <c r="D106" s="1">
        <v>1</v>
      </c>
      <c r="F106" s="4" cm="1">
        <f t="array" aca="1" ref="F106" ca="1">INDEX(OFFSET(INDIRECT("A"&amp;F105), 1, 0):OFFSET(OFFSET(INDIRECT("A"&amp;F105), 1, 0), 100, 0),MATCH(TRUE,INDEX(OFFSET(INDIRECT("A"&amp;F105), 1, 0):OFFSET(OFFSET(INDIRECT("A"&amp;F105), 1, 0), 100, 0)&lt;&gt;0,),0))</f>
        <v>2472</v>
      </c>
      <c r="G106" s="1" t="str" cm="1">
        <f t="array" aca="1" ref="G106" ca="1">INDIRECT("B"&amp;$F106)</f>
        <v>HR</v>
      </c>
      <c r="H106" s="3" t="str" cm="1">
        <f t="array" aca="1" ref="H106" ca="1">_xlfn.IFS(COUNTIF($V$3:$V$18, G106)&lt;&gt;0, "S", COUNTIF($W$3:$W$99, G106)&lt;&gt;0, "E", COUNTIF($X$3, G106)&lt;&gt;0, "I", COUNTIF($Y$3:$Y$8, G106)&lt;&gt;0, "W")</f>
        <v>E</v>
      </c>
      <c r="I106" s="3">
        <f ca="1">SUMIF(OFFSET(INDIRECT("B"&amp;$F106), 4, 0):INDIRECT("B"&amp;$F107), "*"&amp;$I$2&amp;"*", OFFSET(INDIRECT("C"&amp;$F106), 4, 0):OFFSET(INDIRECT("C"&amp;$F107), -1, 0))</f>
        <v>76.8</v>
      </c>
      <c r="J106" s="3">
        <f ca="1">SUMIF(OFFSET(INDIRECT("B"&amp;$F106), 4, 0):INDIRECT("B"&amp;$F107), "*"&amp;$J$2&amp;"*", OFFSET(INDIRECT("C"&amp;$F106), 4, 0):OFFSET(INDIRECT("C"&amp;$F107), -1, 0))</f>
        <v>0</v>
      </c>
      <c r="K106" s="3">
        <f ca="1">SUMIF(OFFSET(INDIRECT("B"&amp;$F106), 4, 0):INDIRECT("B"&amp;$F107), "*"&amp;$K$2&amp;"*", OFFSET(INDIRECT("C"&amp;$F106), 4, 0):OFFSET(INDIRECT("C"&amp;$F107), -1, 0))</f>
        <v>0</v>
      </c>
      <c r="L106" s="3">
        <f ca="1">SUMIF(OFFSET(INDIRECT("B"&amp;$F106), 4, 0):INDIRECT("B"&amp;$F107), "*"&amp;$L$2&amp;"*", OFFSET(INDIRECT("C"&amp;$F106), 4, 0):OFFSET(INDIRECT("C"&amp;$F107), -1, 0))</f>
        <v>0</v>
      </c>
      <c r="M106" s="3">
        <f ca="1">SUMIF(OFFSET(INDIRECT("B"&amp;$F106), 4, 0):INDIRECT("B"&amp;$F107), "*"&amp;$M$2&amp;"*", OFFSET(INDIRECT("C"&amp;$F106), 4, 0):OFFSET(INDIRECT("C"&amp;$F107), -1, 0))</f>
        <v>40</v>
      </c>
      <c r="N106" s="3">
        <f ca="1">SUMIF(OFFSET(INDIRECT("B"&amp;$F106), 4, 0):INDIRECT("B"&amp;$F107), "*"&amp;$N$2&amp;"*", OFFSET(INDIRECT("C"&amp;$F106), 4, 0):OFFSET(INDIRECT("C"&amp;$F107), -1, 0))</f>
        <v>0</v>
      </c>
      <c r="O106" s="3">
        <f ca="1">SUMIF(OFFSET(INDIRECT("B"&amp;$F106), 4, 0):INDIRECT("B"&amp;$F107), "*"&amp;$O$2&amp;"*", OFFSET(INDIRECT("C"&amp;$F106), 4, 0):OFFSET(INDIRECT("C"&amp;$F107), -1, 0))</f>
        <v>0</v>
      </c>
      <c r="P106" s="3">
        <f ca="1">SUMIF(OFFSET(INDIRECT("B"&amp;$F106), 4, 0):INDIRECT("B"&amp;$F107), "*"&amp;$P$2&amp;"*", OFFSET(INDIRECT("C"&amp;$F106), 4, 0):OFFSET(INDIRECT("C"&amp;$F107), -1, 0))</f>
        <v>67.150000000000006</v>
      </c>
      <c r="Q106" s="3">
        <f t="shared" ca="1" si="3"/>
        <v>183.95</v>
      </c>
    </row>
    <row r="107" spans="1:23" x14ac:dyDescent="0.25">
      <c r="A107" s="1">
        <f t="shared" si="2"/>
        <v>0</v>
      </c>
      <c r="B107" s="1" t="s">
        <v>57</v>
      </c>
      <c r="C107" s="1">
        <v>40</v>
      </c>
      <c r="D107" s="1">
        <v>1</v>
      </c>
      <c r="F107" s="4" cm="1">
        <f t="array" aca="1" ref="F107" ca="1">INDEX(OFFSET(INDIRECT("A"&amp;F106), 1, 0):OFFSET(OFFSET(INDIRECT("A"&amp;F106), 1, 0), 100, 0),MATCH(TRUE,INDEX(OFFSET(INDIRECT("A"&amp;F106), 1, 0):OFFSET(OFFSET(INDIRECT("A"&amp;F106), 1, 0), 100, 0)&lt;&gt;0,),0))</f>
        <v>2482</v>
      </c>
      <c r="G107" s="1" t="str" cm="1">
        <f t="array" aca="1" ref="G107" ca="1">INDIRECT("B"&amp;$F107)</f>
        <v>FY</v>
      </c>
      <c r="H107" s="3" t="str" cm="1">
        <f t="array" aca="1" ref="H107" ca="1">_xlfn.IFS(COUNTIF($V$3:$V$18, G107)&lt;&gt;0, "S", COUNTIF($W$3:$W$99, G107)&lt;&gt;0, "E", COUNTIF($X$3, G107)&lt;&gt;0, "I", COUNTIF($Y$3:$Y$8, G107)&lt;&gt;0, "W")</f>
        <v>E</v>
      </c>
      <c r="I107" s="3">
        <f ca="1">SUMIF(OFFSET(INDIRECT("B"&amp;$F107), 4, 0):INDIRECT("B"&amp;$F108), "*"&amp;$I$2&amp;"*", OFFSET(INDIRECT("C"&amp;$F107), 4, 0):OFFSET(INDIRECT("C"&amp;$F108), -1, 0))</f>
        <v>0</v>
      </c>
      <c r="J107" s="3">
        <f ca="1">SUMIF(OFFSET(INDIRECT("B"&amp;$F107), 4, 0):INDIRECT("B"&amp;$F108), "*"&amp;$J$2&amp;"*", OFFSET(INDIRECT("C"&amp;$F107), 4, 0):OFFSET(INDIRECT("C"&amp;$F108), -1, 0))</f>
        <v>54.8</v>
      </c>
      <c r="K107" s="3">
        <f ca="1">SUMIF(OFFSET(INDIRECT("B"&amp;$F107), 4, 0):INDIRECT("B"&amp;$F108), "*"&amp;$K$2&amp;"*", OFFSET(INDIRECT("C"&amp;$F107), 4, 0):OFFSET(INDIRECT("C"&amp;$F108), -1, 0))</f>
        <v>0</v>
      </c>
      <c r="L107" s="3">
        <f ca="1">SUMIF(OFFSET(INDIRECT("B"&amp;$F107), 4, 0):INDIRECT("B"&amp;$F108), "*"&amp;$L$2&amp;"*", OFFSET(INDIRECT("C"&amp;$F107), 4, 0):OFFSET(INDIRECT("C"&amp;$F108), -1, 0))</f>
        <v>54.8</v>
      </c>
      <c r="M107" s="3">
        <f ca="1">SUMIF(OFFSET(INDIRECT("B"&amp;$F107), 4, 0):INDIRECT("B"&amp;$F108), "*"&amp;$M$2&amp;"*", OFFSET(INDIRECT("C"&amp;$F107), 4, 0):OFFSET(INDIRECT("C"&amp;$F108), -1, 0))</f>
        <v>0</v>
      </c>
      <c r="N107" s="3">
        <f ca="1">SUMIF(OFFSET(INDIRECT("B"&amp;$F107), 4, 0):INDIRECT("B"&amp;$F108), "*"&amp;$N$2&amp;"*", OFFSET(INDIRECT("C"&amp;$F107), 4, 0):OFFSET(INDIRECT("C"&amp;$F108), -1, 0))</f>
        <v>0</v>
      </c>
      <c r="O107" s="3">
        <f ca="1">SUMIF(OFFSET(INDIRECT("B"&amp;$F107), 4, 0):INDIRECT("B"&amp;$F108), "*"&amp;$O$2&amp;"*", OFFSET(INDIRECT("C"&amp;$F107), 4, 0):OFFSET(INDIRECT("C"&amp;$F108), -1, 0))</f>
        <v>0</v>
      </c>
      <c r="P107" s="3">
        <f ca="1">SUMIF(OFFSET(INDIRECT("B"&amp;$F107), 4, 0):INDIRECT("B"&amp;$F108), "*"&amp;$P$2&amp;"*", OFFSET(INDIRECT("C"&amp;$F107), 4, 0):OFFSET(INDIRECT("C"&amp;$F108), -1, 0))</f>
        <v>115.2</v>
      </c>
      <c r="Q107" s="3">
        <f t="shared" ca="1" si="3"/>
        <v>224.8</v>
      </c>
    </row>
    <row r="108" spans="1:23" x14ac:dyDescent="0.25">
      <c r="A108" s="1">
        <f t="shared" si="2"/>
        <v>0</v>
      </c>
      <c r="B108" s="1" t="s">
        <v>35</v>
      </c>
      <c r="C108" s="1">
        <v>38.4</v>
      </c>
      <c r="D108" s="1">
        <v>1</v>
      </c>
      <c r="F108" s="4" cm="1">
        <f t="array" aca="1" ref="F108" ca="1">INDEX(OFFSET(INDIRECT("A"&amp;F107), 1, 0):OFFSET(OFFSET(INDIRECT("A"&amp;F107), 1, 0), 100, 0),MATCH(TRUE,INDEX(OFFSET(INDIRECT("A"&amp;F107), 1, 0):OFFSET(OFFSET(INDIRECT("A"&amp;F107), 1, 0), 100, 0)&lt;&gt;0,),0))</f>
        <v>2491</v>
      </c>
      <c r="G108" s="1" t="str" cm="1">
        <f t="array" aca="1" ref="G108" ca="1">INDIRECT("B"&amp;$F108)</f>
        <v>N</v>
      </c>
      <c r="H108" s="3" t="str" cm="1">
        <f t="array" aca="1" ref="H108" ca="1">_xlfn.IFS(COUNTIF($V$3:$V$18, G108)&lt;&gt;0, "S", COUNTIF($W$3:$W$99, G108)&lt;&gt;0, "E", COUNTIF($X$3, G108)&lt;&gt;0, "I", COUNTIF($Y$3:$Y$8, G108)&lt;&gt;0, "W")</f>
        <v>E</v>
      </c>
      <c r="I108" s="3">
        <f ca="1">SUMIF(OFFSET(INDIRECT("B"&amp;$F108), 4, 0):INDIRECT("B"&amp;$F109), "*"&amp;$I$2&amp;"*", OFFSET(INDIRECT("C"&amp;$F108), 4, 0):OFFSET(INDIRECT("C"&amp;$F109), -1, 0))</f>
        <v>817.6</v>
      </c>
      <c r="J108" s="3">
        <f ca="1">SUMIF(OFFSET(INDIRECT("B"&amp;$F108), 4, 0):INDIRECT("B"&amp;$F109), "*"&amp;$J$2&amp;"*", OFFSET(INDIRECT("C"&amp;$F108), 4, 0):OFFSET(INDIRECT("C"&amp;$F109), -1, 0))</f>
        <v>0</v>
      </c>
      <c r="K108" s="3">
        <f ca="1">SUMIF(OFFSET(INDIRECT("B"&amp;$F108), 4, 0):INDIRECT("B"&amp;$F109), "*"&amp;$K$2&amp;"*", OFFSET(INDIRECT("C"&amp;$F108), 4, 0):OFFSET(INDIRECT("C"&amp;$F109), -1, 0))</f>
        <v>76.8</v>
      </c>
      <c r="L108" s="3">
        <f ca="1">SUMIF(OFFSET(INDIRECT("B"&amp;$F108), 4, 0):INDIRECT("B"&amp;$F109), "*"&amp;$L$2&amp;"*", OFFSET(INDIRECT("C"&amp;$F108), 4, 0):OFFSET(INDIRECT("C"&amp;$F109), -1, 0))</f>
        <v>185.99</v>
      </c>
      <c r="M108" s="3">
        <f ca="1">SUMIF(OFFSET(INDIRECT("B"&amp;$F108), 4, 0):INDIRECT("B"&amp;$F109), "*"&amp;$M$2&amp;"*", OFFSET(INDIRECT("C"&amp;$F108), 4, 0):OFFSET(INDIRECT("C"&amp;$F109), -1, 0))</f>
        <v>54.8</v>
      </c>
      <c r="N108" s="3">
        <f ca="1">SUMIF(OFFSET(INDIRECT("B"&amp;$F108), 4, 0):INDIRECT("B"&amp;$F109), "*"&amp;$N$2&amp;"*", OFFSET(INDIRECT("C"&amp;$F108), 4, 0):OFFSET(INDIRECT("C"&amp;$F109), -1, 0))</f>
        <v>0</v>
      </c>
      <c r="O108" s="3">
        <f ca="1">SUMIF(OFFSET(INDIRECT("B"&amp;$F108), 4, 0):INDIRECT("B"&amp;$F109), "*"&amp;$O$2&amp;"*", OFFSET(INDIRECT("C"&amp;$F108), 4, 0):OFFSET(INDIRECT("C"&amp;$F109), -1, 0))</f>
        <v>0</v>
      </c>
      <c r="P108" s="3">
        <f ca="1">SUMIF(OFFSET(INDIRECT("B"&amp;$F108), 4, 0):INDIRECT("B"&amp;$F109), "*"&amp;$P$2&amp;"*", OFFSET(INDIRECT("C"&amp;$F108), 4, 0):OFFSET(INDIRECT("C"&amp;$F109), -1, 0))</f>
        <v>95.9</v>
      </c>
      <c r="Q108" s="3">
        <f t="shared" ca="1" si="3"/>
        <v>1231.0899999999999</v>
      </c>
    </row>
    <row r="109" spans="1:23" x14ac:dyDescent="0.25">
      <c r="A109" s="1">
        <f t="shared" si="2"/>
        <v>0</v>
      </c>
      <c r="B109" s="1" t="s">
        <v>44</v>
      </c>
      <c r="C109" s="1">
        <v>115.2</v>
      </c>
      <c r="D109" s="1">
        <v>3</v>
      </c>
      <c r="F109" s="4" cm="1">
        <f t="array" aca="1" ref="F109" ca="1">INDEX(OFFSET(INDIRECT("A"&amp;F108), 1, 0):OFFSET(OFFSET(INDIRECT("A"&amp;F108), 1, 0), 100, 0),MATCH(TRUE,INDEX(OFFSET(INDIRECT("A"&amp;F108), 1, 0):OFFSET(OFFSET(INDIRECT("A"&amp;F108), 1, 0), 100, 0)&lt;&gt;0,),0))</f>
        <v>2513</v>
      </c>
      <c r="G109" s="1" t="str" cm="1">
        <f t="array" aca="1" ref="G109" ca="1">INDIRECT("B"&amp;$F109)</f>
        <v>PL</v>
      </c>
      <c r="H109" s="3" t="str" cm="1">
        <f t="array" aca="1" ref="H109" ca="1">_xlfn.IFS(COUNTIF($V$3:$V$18, G109)&lt;&gt;0, "S", COUNTIF($W$3:$W$99, G109)&lt;&gt;0, "E", COUNTIF($X$3, G109)&lt;&gt;0, "I", COUNTIF($Y$3:$Y$8, G109)&lt;&gt;0, "W")</f>
        <v>E</v>
      </c>
      <c r="I109" s="3">
        <f ca="1">SUMIF(OFFSET(INDIRECT("B"&amp;$F109), 4, 0):INDIRECT("B"&amp;$F110), "*"&amp;$I$2&amp;"*", OFFSET(INDIRECT("C"&amp;$F109), 4, 0):OFFSET(INDIRECT("C"&amp;$F110), -1, 0))</f>
        <v>402.4</v>
      </c>
      <c r="J109" s="3">
        <f ca="1">SUMIF(OFFSET(INDIRECT("B"&amp;$F109), 4, 0):INDIRECT("B"&amp;$F110), "*"&amp;$J$2&amp;"*", OFFSET(INDIRECT("C"&amp;$F109), 4, 0):OFFSET(INDIRECT("C"&amp;$F110), -1, 0))</f>
        <v>0</v>
      </c>
      <c r="K109" s="3">
        <f ca="1">SUMIF(OFFSET(INDIRECT("B"&amp;$F109), 4, 0):INDIRECT("B"&amp;$F110), "*"&amp;$K$2&amp;"*", OFFSET(INDIRECT("C"&amp;$F109), 4, 0):OFFSET(INDIRECT("C"&amp;$F110), -1, 0))</f>
        <v>0</v>
      </c>
      <c r="L109" s="3">
        <f ca="1">SUMIF(OFFSET(INDIRECT("B"&amp;$F109), 4, 0):INDIRECT("B"&amp;$F110), "*"&amp;$L$2&amp;"*", OFFSET(INDIRECT("C"&amp;$F109), 4, 0):OFFSET(INDIRECT("C"&amp;$F110), -1, 0))</f>
        <v>115.2</v>
      </c>
      <c r="M109" s="3">
        <f ca="1">SUMIF(OFFSET(INDIRECT("B"&amp;$F109), 4, 0):INDIRECT("B"&amp;$F110), "*"&amp;$M$2&amp;"*", OFFSET(INDIRECT("C"&amp;$F109), 4, 0):OFFSET(INDIRECT("C"&amp;$F110), -1, 0))</f>
        <v>64</v>
      </c>
      <c r="N109" s="3">
        <f ca="1">SUMIF(OFFSET(INDIRECT("B"&amp;$F109), 4, 0):INDIRECT("B"&amp;$F110), "*"&amp;$N$2&amp;"*", OFFSET(INDIRECT("C"&amp;$F109), 4, 0):OFFSET(INDIRECT("C"&amp;$F110), -1, 0))</f>
        <v>0</v>
      </c>
      <c r="O109" s="3">
        <f ca="1">SUMIF(OFFSET(INDIRECT("B"&amp;$F109), 4, 0):INDIRECT("B"&amp;$F110), "*"&amp;$O$2&amp;"*", OFFSET(INDIRECT("C"&amp;$F109), 4, 0):OFFSET(INDIRECT("C"&amp;$F110), -1, 0))</f>
        <v>0</v>
      </c>
      <c r="P109" s="3">
        <f ca="1">SUMIF(OFFSET(INDIRECT("B"&amp;$F109), 4, 0):INDIRECT("B"&amp;$F110), "*"&amp;$P$2&amp;"*", OFFSET(INDIRECT("C"&amp;$F109), 4, 0):OFFSET(INDIRECT("C"&amp;$F110), -1, 0))</f>
        <v>38.4</v>
      </c>
      <c r="Q109" s="3">
        <f t="shared" ca="1" si="3"/>
        <v>620</v>
      </c>
    </row>
    <row r="110" spans="1:23" x14ac:dyDescent="0.25">
      <c r="A110" s="1">
        <f t="shared" si="2"/>
        <v>0</v>
      </c>
      <c r="B110" s="1" t="s">
        <v>45</v>
      </c>
      <c r="C110" s="1">
        <v>86.25</v>
      </c>
      <c r="D110" s="1">
        <v>3</v>
      </c>
      <c r="F110" s="4" cm="1">
        <f t="array" aca="1" ref="F110" ca="1">INDEX(OFFSET(INDIRECT("A"&amp;F109), 1, 0):OFFSET(OFFSET(INDIRECT("A"&amp;F109), 1, 0), 100, 0),MATCH(TRUE,INDEX(OFFSET(INDIRECT("A"&amp;F109), 1, 0):OFFSET(OFFSET(INDIRECT("A"&amp;F109), 1, 0), 100, 0)&lt;&gt;0,),0))</f>
        <v>2526</v>
      </c>
      <c r="G110" s="1" t="str" cm="1">
        <f t="array" aca="1" ref="G110" ca="1">INDIRECT("B"&amp;$F110)</f>
        <v>WN</v>
      </c>
      <c r="H110" s="3" t="str" cm="1">
        <f t="array" aca="1" ref="H110" ca="1">_xlfn.IFS(COUNTIF($V$3:$V$18, G110)&lt;&gt;0, "S", COUNTIF($W$3:$W$99, G110)&lt;&gt;0, "E", COUNTIF($X$3, G110)&lt;&gt;0, "I", COUNTIF($Y$3:$Y$8, G110)&lt;&gt;0, "W")</f>
        <v>E</v>
      </c>
      <c r="I110" s="3">
        <f ca="1">SUMIF(OFFSET(INDIRECT("B"&amp;$F110), 4, 0):INDIRECT("B"&amp;$F111), "*"&amp;$I$2&amp;"*", OFFSET(INDIRECT("C"&amp;$F110), 4, 0):OFFSET(INDIRECT("C"&amp;$F111), -1, 0))</f>
        <v>428.79999999999995</v>
      </c>
      <c r="J110" s="3">
        <f ca="1">SUMIF(OFFSET(INDIRECT("B"&amp;$F110), 4, 0):INDIRECT("B"&amp;$F111), "*"&amp;$J$2&amp;"*", OFFSET(INDIRECT("C"&amp;$F110), 4, 0):OFFSET(INDIRECT("C"&amp;$F111), -1, 0))</f>
        <v>0</v>
      </c>
      <c r="K110" s="3">
        <f ca="1">SUMIF(OFFSET(INDIRECT("B"&amp;$F110), 4, 0):INDIRECT("B"&amp;$F111), "*"&amp;$K$2&amp;"*", OFFSET(INDIRECT("C"&amp;$F110), 4, 0):OFFSET(INDIRECT("C"&amp;$F111), -1, 0))</f>
        <v>0</v>
      </c>
      <c r="L110" s="3">
        <f ca="1">SUMIF(OFFSET(INDIRECT("B"&amp;$F110), 4, 0):INDIRECT("B"&amp;$F111), "*"&amp;$L$2&amp;"*", OFFSET(INDIRECT("C"&amp;$F110), 4, 0):OFFSET(INDIRECT("C"&amp;$F111), -1, 0))</f>
        <v>92.789999999999992</v>
      </c>
      <c r="M110" s="3">
        <f ca="1">SUMIF(OFFSET(INDIRECT("B"&amp;$F110), 4, 0):INDIRECT("B"&amp;$F111), "*"&amp;$M$2&amp;"*", OFFSET(INDIRECT("C"&amp;$F110), 4, 0):OFFSET(INDIRECT("C"&amp;$F111), -1, 0))</f>
        <v>115.19999999999999</v>
      </c>
      <c r="N110" s="3">
        <f ca="1">SUMIF(OFFSET(INDIRECT("B"&amp;$F110), 4, 0):INDIRECT("B"&amp;$F111), "*"&amp;$N$2&amp;"*", OFFSET(INDIRECT("C"&amp;$F110), 4, 0):OFFSET(INDIRECT("C"&amp;$F111), -1, 0))</f>
        <v>34.56</v>
      </c>
      <c r="O110" s="3">
        <f ca="1">SUMIF(OFFSET(INDIRECT("B"&amp;$F110), 4, 0):INDIRECT("B"&amp;$F111), "*"&amp;$O$2&amp;"*", OFFSET(INDIRECT("C"&amp;$F110), 4, 0):OFFSET(INDIRECT("C"&amp;$F111), -1, 0))</f>
        <v>0</v>
      </c>
      <c r="P110" s="3">
        <f ca="1">SUMIF(OFFSET(INDIRECT("B"&amp;$F110), 4, 0):INDIRECT("B"&amp;$F111), "*"&amp;$P$2&amp;"*", OFFSET(INDIRECT("C"&amp;$F110), 4, 0):OFFSET(INDIRECT("C"&amp;$F111), -1, 0))</f>
        <v>93.199999999999989</v>
      </c>
      <c r="Q110" s="3">
        <f t="shared" ca="1" si="3"/>
        <v>764.55</v>
      </c>
    </row>
    <row r="111" spans="1:23" x14ac:dyDescent="0.25">
      <c r="A111" s="1">
        <f t="shared" si="2"/>
        <v>111</v>
      </c>
      <c r="B111" s="1" t="s">
        <v>58</v>
      </c>
      <c r="F111" s="4" cm="1">
        <f t="array" aca="1" ref="F111" ca="1">INDEX(OFFSET(INDIRECT("A"&amp;F110), 1, 0):OFFSET(OFFSET(INDIRECT("A"&amp;F110), 1, 0), 100, 0),MATCH(TRUE,INDEX(OFFSET(INDIRECT("A"&amp;F110), 1, 0):OFFSET(OFFSET(INDIRECT("A"&amp;F110), 1, 0), 100, 0)&lt;&gt;0,),0))</f>
        <v>2545</v>
      </c>
      <c r="G111" s="1" t="str" cm="1">
        <f t="array" aca="1" ref="G111" ca="1">INDIRECT("B"&amp;$F111)</f>
        <v>DT</v>
      </c>
      <c r="H111" s="3" t="str" cm="1">
        <f t="array" aca="1" ref="H111" ca="1">_xlfn.IFS(COUNTIF($V$3:$V$18, G111)&lt;&gt;0, "S", COUNTIF($W$3:$W$99, G111)&lt;&gt;0, "E", COUNTIF($X$3, G111)&lt;&gt;0, "I", COUNTIF($Y$3:$Y$8, G111)&lt;&gt;0, "W")</f>
        <v>E</v>
      </c>
      <c r="I111" s="3">
        <f ca="1">SUMIF(OFFSET(INDIRECT("B"&amp;$F111), 4, 0):INDIRECT("B"&amp;$F112), "*"&amp;$I$2&amp;"*", OFFSET(INDIRECT("C"&amp;$F111), 4, 0):OFFSET(INDIRECT("C"&amp;$F112), -1, 0))</f>
        <v>327.99999999999994</v>
      </c>
      <c r="J111" s="3">
        <f ca="1">SUMIF(OFFSET(INDIRECT("B"&amp;$F111), 4, 0):INDIRECT("B"&amp;$F112), "*"&amp;$J$2&amp;"*", OFFSET(INDIRECT("C"&amp;$F111), 4, 0):OFFSET(INDIRECT("C"&amp;$F112), -1, 0))</f>
        <v>38.4</v>
      </c>
      <c r="K111" s="3">
        <f ca="1">SUMIF(OFFSET(INDIRECT("B"&amp;$F111), 4, 0):INDIRECT("B"&amp;$F112), "*"&amp;$K$2&amp;"*", OFFSET(INDIRECT("C"&amp;$F111), 4, 0):OFFSET(INDIRECT("C"&amp;$F112), -1, 0))</f>
        <v>0</v>
      </c>
      <c r="L111" s="3">
        <f ca="1">SUMIF(OFFSET(INDIRECT("B"&amp;$F111), 4, 0):INDIRECT("B"&amp;$F112), "*"&amp;$L$2&amp;"*", OFFSET(INDIRECT("C"&amp;$F111), 4, 0):OFFSET(INDIRECT("C"&amp;$F112), -1, 0))</f>
        <v>54.39</v>
      </c>
      <c r="M111" s="3">
        <f ca="1">SUMIF(OFFSET(INDIRECT("B"&amp;$F111), 4, 0):INDIRECT("B"&amp;$F112), "*"&amp;$M$2&amp;"*", OFFSET(INDIRECT("C"&amp;$F111), 4, 0):OFFSET(INDIRECT("C"&amp;$F112), -1, 0))</f>
        <v>40</v>
      </c>
      <c r="N111" s="3">
        <f ca="1">SUMIF(OFFSET(INDIRECT("B"&amp;$F111), 4, 0):INDIRECT("B"&amp;$F112), "*"&amp;$N$2&amp;"*", OFFSET(INDIRECT("C"&amp;$F111), 4, 0):OFFSET(INDIRECT("C"&amp;$F112), -1, 0))</f>
        <v>0</v>
      </c>
      <c r="O111" s="3">
        <f ca="1">SUMIF(OFFSET(INDIRECT("B"&amp;$F111), 4, 0):INDIRECT("B"&amp;$F112), "*"&amp;$O$2&amp;"*", OFFSET(INDIRECT("C"&amp;$F111), 4, 0):OFFSET(INDIRECT("C"&amp;$F112), -1, 0))</f>
        <v>0</v>
      </c>
      <c r="P111" s="3">
        <f ca="1">SUMIF(OFFSET(INDIRECT("B"&amp;$F111), 4, 0):INDIRECT("B"&amp;$F112), "*"&amp;$P$2&amp;"*", OFFSET(INDIRECT("C"&amp;$F111), 4, 0):OFFSET(INDIRECT("C"&amp;$F112), -1, 0))</f>
        <v>0</v>
      </c>
      <c r="Q111" s="3">
        <f t="shared" ca="1" si="3"/>
        <v>460.78999999999991</v>
      </c>
    </row>
    <row r="112" spans="1:23" x14ac:dyDescent="0.25">
      <c r="A112" s="1">
        <f t="shared" si="2"/>
        <v>0</v>
      </c>
      <c r="B112" s="1" t="s">
        <v>1</v>
      </c>
      <c r="C112" s="1">
        <v>59</v>
      </c>
      <c r="F112" s="4" cm="1">
        <f t="array" aca="1" ref="F112" ca="1">INDEX(OFFSET(INDIRECT("A"&amp;F111), 1, 0):OFFSET(OFFSET(INDIRECT("A"&amp;F111), 1, 0), 100, 0),MATCH(TRUE,INDEX(OFFSET(INDIRECT("A"&amp;F111), 1, 0):OFFSET(OFFSET(INDIRECT("A"&amp;F111), 1, 0), 100, 0)&lt;&gt;0,),0))</f>
        <v>2558</v>
      </c>
      <c r="G112" s="1" t="str" cm="1">
        <f t="array" aca="1" ref="G112" ca="1">INDIRECT("B"&amp;$F112)</f>
        <v>CW</v>
      </c>
      <c r="H112" s="3" t="str" cm="1">
        <f t="array" aca="1" ref="H112" ca="1">_xlfn.IFS(COUNTIF($V$3:$V$18, G112)&lt;&gt;0, "S", COUNTIF($W$3:$W$99, G112)&lt;&gt;0, "E", COUNTIF($X$3, G112)&lt;&gt;0, "I", COUNTIF($Y$3:$Y$8, G112)&lt;&gt;0, "W")</f>
        <v>E</v>
      </c>
      <c r="I112" s="3">
        <f ca="1">SUMIF(OFFSET(INDIRECT("B"&amp;$F112), 4, 0):INDIRECT("B"&amp;$F113), "*"&amp;$I$2&amp;"*", OFFSET(INDIRECT("C"&amp;$F112), 4, 0):OFFSET(INDIRECT("C"&amp;$F113), -1, 0))</f>
        <v>732</v>
      </c>
      <c r="J112" s="3">
        <f ca="1">SUMIF(OFFSET(INDIRECT("B"&amp;$F112), 4, 0):INDIRECT("B"&amp;$F113), "*"&amp;$J$2&amp;"*", OFFSET(INDIRECT("C"&amp;$F112), 4, 0):OFFSET(INDIRECT("C"&amp;$F113), -1, 0))</f>
        <v>0</v>
      </c>
      <c r="K112" s="3">
        <f ca="1">SUMIF(OFFSET(INDIRECT("B"&amp;$F112), 4, 0):INDIRECT("B"&amp;$F113), "*"&amp;$K$2&amp;"*", OFFSET(INDIRECT("C"&amp;$F112), 4, 0):OFFSET(INDIRECT("C"&amp;$F113), -1, 0))</f>
        <v>28.75</v>
      </c>
      <c r="L112" s="3">
        <f ca="1">SUMIF(OFFSET(INDIRECT("B"&amp;$F112), 4, 0):INDIRECT("B"&amp;$F113), "*"&amp;$L$2&amp;"*", OFFSET(INDIRECT("C"&amp;$F112), 4, 0):OFFSET(INDIRECT("C"&amp;$F113), -1, 0))</f>
        <v>42.5</v>
      </c>
      <c r="M112" s="3">
        <f ca="1">SUMIF(OFFSET(INDIRECT("B"&amp;$F112), 4, 0):INDIRECT("B"&amp;$F113), "*"&amp;$M$2&amp;"*", OFFSET(INDIRECT("C"&amp;$F112), 4, 0):OFFSET(INDIRECT("C"&amp;$F113), -1, 0))</f>
        <v>0</v>
      </c>
      <c r="N112" s="3">
        <f ca="1">SUMIF(OFFSET(INDIRECT("B"&amp;$F112), 4, 0):INDIRECT("B"&amp;$F113), "*"&amp;$N$2&amp;"*", OFFSET(INDIRECT("C"&amp;$F112), 4, 0):OFFSET(INDIRECT("C"&amp;$F113), -1, 0))</f>
        <v>28.75</v>
      </c>
      <c r="O112" s="3">
        <f ca="1">SUMIF(OFFSET(INDIRECT("B"&amp;$F112), 4, 0):INDIRECT("B"&amp;$F113), "*"&amp;$O$2&amp;"*", OFFSET(INDIRECT("C"&amp;$F112), 4, 0):OFFSET(INDIRECT("C"&amp;$F113), -1, 0))</f>
        <v>0</v>
      </c>
      <c r="P112" s="3">
        <f ca="1">SUMIF(OFFSET(INDIRECT("B"&amp;$F112), 4, 0):INDIRECT("B"&amp;$F113), "*"&amp;$P$2&amp;"*", OFFSET(INDIRECT("C"&amp;$F112), 4, 0):OFFSET(INDIRECT("C"&amp;$F113), -1, 0))</f>
        <v>189.1</v>
      </c>
      <c r="Q112" s="3">
        <f t="shared" ca="1" si="3"/>
        <v>1021.1</v>
      </c>
    </row>
    <row r="113" spans="1:17" x14ac:dyDescent="0.25">
      <c r="A113" s="1">
        <f t="shared" si="2"/>
        <v>0</v>
      </c>
      <c r="B113" s="1" t="s">
        <v>2</v>
      </c>
      <c r="C113" s="1">
        <v>2340.5</v>
      </c>
      <c r="F113" s="4" cm="1">
        <f t="array" aca="1" ref="F113" ca="1">INDEX(OFFSET(INDIRECT("A"&amp;F112), 1, 0):OFFSET(OFFSET(INDIRECT("A"&amp;F112), 1, 0), 100, 0),MATCH(TRUE,INDEX(OFFSET(INDIRECT("A"&amp;F112), 1, 0):OFFSET(OFFSET(INDIRECT("A"&amp;F112), 1, 0), 100, 0)&lt;&gt;0,),0))</f>
        <v>2574</v>
      </c>
      <c r="G113" s="1" t="str" cm="1">
        <f t="array" aca="1" ref="G113" ca="1">INDIRECT("B"&amp;$F113)</f>
        <v>LU</v>
      </c>
      <c r="H113" s="3" t="str" cm="1">
        <f t="array" aca="1" ref="H113" ca="1">_xlfn.IFS(COUNTIF($V$3:$V$18, G113)&lt;&gt;0, "S", COUNTIF($W$3:$W$99, G113)&lt;&gt;0, "E", COUNTIF($X$3, G113)&lt;&gt;0, "I", COUNTIF($Y$3:$Y$8, G113)&lt;&gt;0, "W")</f>
        <v>E</v>
      </c>
      <c r="I113" s="3">
        <f ca="1">SUMIF(OFFSET(INDIRECT("B"&amp;$F113), 4, 0):INDIRECT("B"&amp;$F114), "*"&amp;$I$2&amp;"*", OFFSET(INDIRECT("C"&amp;$F113), 4, 0):OFFSET(INDIRECT("C"&amp;$F114), -1, 0))</f>
        <v>202.8</v>
      </c>
      <c r="J113" s="3">
        <f ca="1">SUMIF(OFFSET(INDIRECT("B"&amp;$F113), 4, 0):INDIRECT("B"&amp;$F114), "*"&amp;$J$2&amp;"*", OFFSET(INDIRECT("C"&amp;$F113), 4, 0):OFFSET(INDIRECT("C"&amp;$F114), -1, 0))</f>
        <v>0</v>
      </c>
      <c r="K113" s="3">
        <f ca="1">SUMIF(OFFSET(INDIRECT("B"&amp;$F113), 4, 0):INDIRECT("B"&amp;$F114), "*"&amp;$K$2&amp;"*", OFFSET(INDIRECT("C"&amp;$F113), 4, 0):OFFSET(INDIRECT("C"&amp;$F114), -1, 0))</f>
        <v>38.4</v>
      </c>
      <c r="L113" s="3">
        <f ca="1">SUMIF(OFFSET(INDIRECT("B"&amp;$F113), 4, 0):INDIRECT("B"&amp;$F114), "*"&amp;$L$2&amp;"*", OFFSET(INDIRECT("C"&amp;$F113), 4, 0):OFFSET(INDIRECT("C"&amp;$F114), -1, 0))</f>
        <v>0</v>
      </c>
      <c r="M113" s="3">
        <f ca="1">SUMIF(OFFSET(INDIRECT("B"&amp;$F113), 4, 0):INDIRECT("B"&amp;$F114), "*"&amp;$M$2&amp;"*", OFFSET(INDIRECT("C"&amp;$F113), 4, 0):OFFSET(INDIRECT("C"&amp;$F114), -1, 0))</f>
        <v>0</v>
      </c>
      <c r="N113" s="3">
        <f ca="1">SUMIF(OFFSET(INDIRECT("B"&amp;$F113), 4, 0):INDIRECT("B"&amp;$F114), "*"&amp;$N$2&amp;"*", OFFSET(INDIRECT("C"&amp;$F113), 4, 0):OFFSET(INDIRECT("C"&amp;$F114), -1, 0))</f>
        <v>28.75</v>
      </c>
      <c r="O113" s="3">
        <f ca="1">SUMIF(OFFSET(INDIRECT("B"&amp;$F113), 4, 0):INDIRECT("B"&amp;$F114), "*"&amp;$O$2&amp;"*", OFFSET(INDIRECT("C"&amp;$F113), 4, 0):OFFSET(INDIRECT("C"&amp;$F114), -1, 0))</f>
        <v>0</v>
      </c>
      <c r="P113" s="3">
        <f ca="1">SUMIF(OFFSET(INDIRECT("B"&amp;$F113), 4, 0):INDIRECT("B"&amp;$F114), "*"&amp;$P$2&amp;"*", OFFSET(INDIRECT("C"&amp;$F113), 4, 0):OFFSET(INDIRECT("C"&amp;$F114), -1, 0))</f>
        <v>160.35</v>
      </c>
      <c r="Q113" s="3">
        <f t="shared" ca="1" si="3"/>
        <v>430.30000000000007</v>
      </c>
    </row>
    <row r="114" spans="1:17" x14ac:dyDescent="0.25">
      <c r="A114" s="1">
        <f t="shared" si="2"/>
        <v>0</v>
      </c>
      <c r="B114" s="1" t="s">
        <v>3</v>
      </c>
      <c r="C114" s="1" t="s">
        <v>4</v>
      </c>
      <c r="D114" s="1" t="s">
        <v>5</v>
      </c>
      <c r="F114" s="4" cm="1">
        <f t="array" aca="1" ref="F114" ca="1">INDEX(OFFSET(INDIRECT("A"&amp;F113), 1, 0):OFFSET(OFFSET(INDIRECT("A"&amp;F113), 1, 0), 100, 0),MATCH(TRUE,INDEX(OFFSET(INDIRECT("A"&amp;F113), 1, 0):OFFSET(OFFSET(INDIRECT("A"&amp;F113), 1, 0), 100, 0)&lt;&gt;0,),0))</f>
        <v>2586</v>
      </c>
      <c r="G114" s="1" t="str" cm="1">
        <f t="array" aca="1" ref="G114" ca="1">INDIRECT("B"&amp;$F114)</f>
        <v>PO</v>
      </c>
      <c r="H114" s="3" t="str" cm="1">
        <f t="array" aca="1" ref="H114" ca="1">_xlfn.IFS(COUNTIF($V$3:$V$18, G114)&lt;&gt;0, "S", COUNTIF($W$3:$W$99, G114)&lt;&gt;0, "E", COUNTIF($X$3, G114)&lt;&gt;0, "I", COUNTIF($Y$3:$Y$8, G114)&lt;&gt;0, "W")</f>
        <v>E</v>
      </c>
      <c r="I114" s="3">
        <f ca="1">SUMIF(OFFSET(INDIRECT("B"&amp;$F114), 4, 0):INDIRECT("B"&amp;$F115), "*"&amp;$I$2&amp;"*", OFFSET(INDIRECT("C"&amp;$F114), 4, 0):OFFSET(INDIRECT("C"&amp;$F115), -1, 0))</f>
        <v>606</v>
      </c>
      <c r="J114" s="3">
        <f ca="1">SUMIF(OFFSET(INDIRECT("B"&amp;$F114), 4, 0):INDIRECT("B"&amp;$F115), "*"&amp;$J$2&amp;"*", OFFSET(INDIRECT("C"&amp;$F114), 4, 0):OFFSET(INDIRECT("C"&amp;$F115), -1, 0))</f>
        <v>0</v>
      </c>
      <c r="K114" s="3">
        <f ca="1">SUMIF(OFFSET(INDIRECT("B"&amp;$F114), 4, 0):INDIRECT("B"&amp;$F115), "*"&amp;$K$2&amp;"*", OFFSET(INDIRECT("C"&amp;$F114), 4, 0):OFFSET(INDIRECT("C"&amp;$F115), -1, 0))</f>
        <v>67.150000000000006</v>
      </c>
      <c r="L114" s="3">
        <f ca="1">SUMIF(OFFSET(INDIRECT("B"&amp;$F114), 4, 0):INDIRECT("B"&amp;$F115), "*"&amp;$L$2&amp;"*", OFFSET(INDIRECT("C"&amp;$F114), 4, 0):OFFSET(INDIRECT("C"&amp;$F115), -1, 0))</f>
        <v>0</v>
      </c>
      <c r="M114" s="3">
        <f ca="1">SUMIF(OFFSET(INDIRECT("B"&amp;$F114), 4, 0):INDIRECT("B"&amp;$F115), "*"&amp;$M$2&amp;"*", OFFSET(INDIRECT("C"&amp;$F114), 4, 0):OFFSET(INDIRECT("C"&amp;$F115), -1, 0))</f>
        <v>0</v>
      </c>
      <c r="N114" s="3">
        <f ca="1">SUMIF(OFFSET(INDIRECT("B"&amp;$F114), 4, 0):INDIRECT("B"&amp;$F115), "*"&amp;$N$2&amp;"*", OFFSET(INDIRECT("C"&amp;$F114), 4, 0):OFFSET(INDIRECT("C"&amp;$F115), -1, 0))</f>
        <v>0</v>
      </c>
      <c r="O114" s="3">
        <f ca="1">SUMIF(OFFSET(INDIRECT("B"&amp;$F114), 4, 0):INDIRECT("B"&amp;$F115), "*"&amp;$O$2&amp;"*", OFFSET(INDIRECT("C"&amp;$F114), 4, 0):OFFSET(INDIRECT("C"&amp;$F115), -1, 0))</f>
        <v>76.8</v>
      </c>
      <c r="P114" s="3">
        <f ca="1">SUMIF(OFFSET(INDIRECT("B"&amp;$F114), 4, 0):INDIRECT("B"&amp;$F115), "*"&amp;$P$2&amp;"*", OFFSET(INDIRECT("C"&amp;$F114), 4, 0):OFFSET(INDIRECT("C"&amp;$F115), -1, 0))</f>
        <v>95.9</v>
      </c>
      <c r="Q114" s="3">
        <f t="shared" ca="1" si="3"/>
        <v>845.84999999999991</v>
      </c>
    </row>
    <row r="115" spans="1:17" x14ac:dyDescent="0.25">
      <c r="A115" s="1">
        <f t="shared" si="2"/>
        <v>0</v>
      </c>
      <c r="B115" s="1" t="s">
        <v>17</v>
      </c>
      <c r="C115" s="1">
        <v>153.6</v>
      </c>
      <c r="D115" s="1">
        <v>4</v>
      </c>
      <c r="F115" s="4" cm="1">
        <f t="array" aca="1" ref="F115" ca="1">INDEX(OFFSET(INDIRECT("A"&amp;F114), 1, 0):OFFSET(OFFSET(INDIRECT("A"&amp;F114), 1, 0), 100, 0),MATCH(TRUE,INDEX(OFFSET(INDIRECT("A"&amp;F114), 1, 0):OFFSET(OFFSET(INDIRECT("A"&amp;F114), 1, 0), 100, 0)&lt;&gt;0,),0))</f>
        <v>2606</v>
      </c>
      <c r="G115" s="1" t="str" cm="1">
        <f t="array" aca="1" ref="G115" ca="1">INDIRECT("B"&amp;$F115)</f>
        <v>BB</v>
      </c>
      <c r="H115" s="3" t="str" cm="1">
        <f t="array" aca="1" ref="H115" ca="1">_xlfn.IFS(COUNTIF($V$3:$V$18, G115)&lt;&gt;0, "S", COUNTIF($W$3:$W$99, G115)&lt;&gt;0, "E", COUNTIF($X$3, G115)&lt;&gt;0, "I", COUNTIF($Y$3:$Y$8, G115)&lt;&gt;0, "W")</f>
        <v>E</v>
      </c>
      <c r="I115" s="3">
        <f ca="1">SUMIF(OFFSET(INDIRECT("B"&amp;$F115), 4, 0):INDIRECT("B"&amp;$F116), "*"&amp;$I$2&amp;"*", OFFSET(INDIRECT("C"&amp;$F115), 4, 0):OFFSET(INDIRECT("C"&amp;$F116), -1, 0))</f>
        <v>155.19999999999999</v>
      </c>
      <c r="J115" s="3">
        <f ca="1">SUMIF(OFFSET(INDIRECT("B"&amp;$F115), 4, 0):INDIRECT("B"&amp;$F116), "*"&amp;$J$2&amp;"*", OFFSET(INDIRECT("C"&amp;$F115), 4, 0):OFFSET(INDIRECT("C"&amp;$F116), -1, 0))</f>
        <v>76.8</v>
      </c>
      <c r="K115" s="3">
        <f ca="1">SUMIF(OFFSET(INDIRECT("B"&amp;$F115), 4, 0):INDIRECT("B"&amp;$F116), "*"&amp;$K$2&amp;"*", OFFSET(INDIRECT("C"&amp;$F115), 4, 0):OFFSET(INDIRECT("C"&amp;$F116), -1, 0))</f>
        <v>0</v>
      </c>
      <c r="L115" s="3">
        <f ca="1">SUMIF(OFFSET(INDIRECT("B"&amp;$F115), 4, 0):INDIRECT("B"&amp;$F116), "*"&amp;$L$2&amp;"*", OFFSET(INDIRECT("C"&amp;$F115), 4, 0):OFFSET(INDIRECT("C"&amp;$F116), -1, 0))</f>
        <v>76.8</v>
      </c>
      <c r="M115" s="3">
        <f ca="1">SUMIF(OFFSET(INDIRECT("B"&amp;$F115), 4, 0):INDIRECT("B"&amp;$F116), "*"&amp;$M$2&amp;"*", OFFSET(INDIRECT("C"&amp;$F115), 4, 0):OFFSET(INDIRECT("C"&amp;$F116), -1, 0))</f>
        <v>38.4</v>
      </c>
      <c r="N115" s="3">
        <f ca="1">SUMIF(OFFSET(INDIRECT("B"&amp;$F115), 4, 0):INDIRECT("B"&amp;$F116), "*"&amp;$N$2&amp;"*", OFFSET(INDIRECT("C"&amp;$F115), 4, 0):OFFSET(INDIRECT("C"&amp;$F116), -1, 0))</f>
        <v>38.4</v>
      </c>
      <c r="O115" s="3">
        <f ca="1">SUMIF(OFFSET(INDIRECT("B"&amp;$F115), 4, 0):INDIRECT("B"&amp;$F116), "*"&amp;$O$2&amp;"*", OFFSET(INDIRECT("C"&amp;$F115), 4, 0):OFFSET(INDIRECT("C"&amp;$F116), -1, 0))</f>
        <v>0</v>
      </c>
      <c r="P115" s="3">
        <f ca="1">SUMIF(OFFSET(INDIRECT("B"&amp;$F115), 4, 0):INDIRECT("B"&amp;$F116), "*"&amp;$P$2&amp;"*", OFFSET(INDIRECT("C"&amp;$F115), 4, 0):OFFSET(INDIRECT("C"&amp;$F116), -1, 0))</f>
        <v>215.14999999999998</v>
      </c>
      <c r="Q115" s="3">
        <f t="shared" ca="1" si="3"/>
        <v>600.75</v>
      </c>
    </row>
    <row r="116" spans="1:17" x14ac:dyDescent="0.25">
      <c r="A116" s="1">
        <f t="shared" si="2"/>
        <v>0</v>
      </c>
      <c r="B116" s="1" t="s">
        <v>7</v>
      </c>
      <c r="C116" s="1">
        <v>109.6</v>
      </c>
      <c r="D116" s="1">
        <v>3</v>
      </c>
      <c r="F116" s="4" cm="1">
        <f t="array" aca="1" ref="F116" ca="1">INDEX(OFFSET(INDIRECT("A"&amp;F115), 1, 0):OFFSET(OFFSET(INDIRECT("A"&amp;F115), 1, 0), 100, 0),MATCH(TRUE,INDEX(OFFSET(INDIRECT("A"&amp;F115), 1, 0):OFFSET(OFFSET(INDIRECT("A"&amp;F115), 1, 0), 100, 0)&lt;&gt;0,),0))</f>
        <v>2626</v>
      </c>
      <c r="G116" s="1" t="str" cm="1">
        <f t="array" aca="1" ref="G116" ca="1">INDIRECT("B"&amp;$F116)</f>
        <v>HS</v>
      </c>
      <c r="H116" s="3" t="str" cm="1">
        <f t="array" aca="1" ref="H116" ca="1">_xlfn.IFS(COUNTIF($V$3:$V$18, G116)&lt;&gt;0, "S", COUNTIF($W$3:$W$99, G116)&lt;&gt;0, "E", COUNTIF($X$3, G116)&lt;&gt;0, "I", COUNTIF($Y$3:$Y$8, G116)&lt;&gt;0, "W")</f>
        <v>S</v>
      </c>
      <c r="I116" s="3">
        <f ca="1">SUMIF(OFFSET(INDIRECT("B"&amp;$F116), 4, 0):INDIRECT("B"&amp;$F117), "*"&amp;$I$2&amp;"*", OFFSET(INDIRECT("C"&amp;$F116), 4, 0):OFFSET(INDIRECT("C"&amp;$F117), -1, 0))</f>
        <v>192</v>
      </c>
      <c r="J116" s="3">
        <f ca="1">SUMIF(OFFSET(INDIRECT("B"&amp;$F116), 4, 0):INDIRECT("B"&amp;$F117), "*"&amp;$J$2&amp;"*", OFFSET(INDIRECT("C"&amp;$F116), 4, 0):OFFSET(INDIRECT("C"&amp;$F117), -1, 0))</f>
        <v>0</v>
      </c>
      <c r="K116" s="3">
        <f ca="1">SUMIF(OFFSET(INDIRECT("B"&amp;$F116), 4, 0):INDIRECT("B"&amp;$F117), "*"&amp;$K$2&amp;"*", OFFSET(INDIRECT("C"&amp;$F116), 4, 0):OFFSET(INDIRECT("C"&amp;$F117), -1, 0))</f>
        <v>38.4</v>
      </c>
      <c r="L116" s="3">
        <f ca="1">SUMIF(OFFSET(INDIRECT("B"&amp;$F116), 4, 0):INDIRECT("B"&amp;$F117), "*"&amp;$L$2&amp;"*", OFFSET(INDIRECT("C"&amp;$F116), 4, 0):OFFSET(INDIRECT("C"&amp;$F117), -1, 0))</f>
        <v>40</v>
      </c>
      <c r="M116" s="3">
        <f ca="1">SUMIF(OFFSET(INDIRECT("B"&amp;$F116), 4, 0):INDIRECT("B"&amp;$F117), "*"&amp;$M$2&amp;"*", OFFSET(INDIRECT("C"&amp;$F116), 4, 0):OFFSET(INDIRECT("C"&amp;$F117), -1, 0))</f>
        <v>38.4</v>
      </c>
      <c r="N116" s="3">
        <f ca="1">SUMIF(OFFSET(INDIRECT("B"&amp;$F116), 4, 0):INDIRECT("B"&amp;$F117), "*"&amp;$N$2&amp;"*", OFFSET(INDIRECT("C"&amp;$F116), 4, 0):OFFSET(INDIRECT("C"&amp;$F117), -1, 0))</f>
        <v>0</v>
      </c>
      <c r="O116" s="3">
        <f ca="1">SUMIF(OFFSET(INDIRECT("B"&amp;$F116), 4, 0):INDIRECT("B"&amp;$F117), "*"&amp;$O$2&amp;"*", OFFSET(INDIRECT("C"&amp;$F116), 4, 0):OFFSET(INDIRECT("C"&amp;$F117), -1, 0))</f>
        <v>153.6</v>
      </c>
      <c r="P116" s="3">
        <f ca="1">SUMIF(OFFSET(INDIRECT("B"&amp;$F116), 4, 0):INDIRECT("B"&amp;$F117), "*"&amp;$P$2&amp;"*", OFFSET(INDIRECT("C"&amp;$F116), 4, 0):OFFSET(INDIRECT("C"&amp;$F117), -1, 0))</f>
        <v>224.8</v>
      </c>
      <c r="Q116" s="3">
        <f t="shared" ca="1" si="3"/>
        <v>687.2</v>
      </c>
    </row>
    <row r="117" spans="1:17" x14ac:dyDescent="0.25">
      <c r="A117" s="1">
        <f t="shared" si="2"/>
        <v>0</v>
      </c>
      <c r="B117" s="1" t="s">
        <v>57</v>
      </c>
      <c r="C117" s="1">
        <v>40</v>
      </c>
      <c r="D117" s="1">
        <v>1</v>
      </c>
      <c r="F117" s="4" cm="1">
        <f t="array" aca="1" ref="F117" ca="1">INDEX(OFFSET(INDIRECT("A"&amp;F116), 1, 0):OFFSET(OFFSET(INDIRECT("A"&amp;F116), 1, 0), 100, 0),MATCH(TRUE,INDEX(OFFSET(INDIRECT("A"&amp;F116), 1, 0):OFFSET(OFFSET(INDIRECT("A"&amp;F116), 1, 0), 100, 0)&lt;&gt;0,),0))</f>
        <v>2640</v>
      </c>
      <c r="G117" s="1" t="str" cm="1">
        <f t="array" aca="1" ref="G117" ca="1">INDIRECT("B"&amp;$F117)</f>
        <v>W</v>
      </c>
      <c r="H117" s="3" t="str" cm="1">
        <f t="array" aca="1" ref="H117" ca="1">_xlfn.IFS(COUNTIF($V$3:$V$18, G117)&lt;&gt;0, "S", COUNTIF($W$3:$W$99, G117)&lt;&gt;0, "E", COUNTIF($X$3, G117)&lt;&gt;0, "I", COUNTIF($Y$3:$Y$8, G117)&lt;&gt;0, "W")</f>
        <v>E</v>
      </c>
      <c r="I117" s="3">
        <f ca="1">SUMIF(OFFSET(INDIRECT("B"&amp;$F117), 4, 0):INDIRECT("B"&amp;$F118), "*"&amp;$I$2&amp;"*", OFFSET(INDIRECT("C"&amp;$F117), 4, 0):OFFSET(INDIRECT("C"&amp;$F118), -1, 0))</f>
        <v>734.8</v>
      </c>
      <c r="J117" s="3">
        <f ca="1">SUMIF(OFFSET(INDIRECT("B"&amp;$F117), 4, 0):INDIRECT("B"&amp;$F118), "*"&amp;$J$2&amp;"*", OFFSET(INDIRECT("C"&amp;$F117), 4, 0):OFFSET(INDIRECT("C"&amp;$F118), -1, 0))</f>
        <v>0</v>
      </c>
      <c r="K117" s="3">
        <f ca="1">SUMIF(OFFSET(INDIRECT("B"&amp;$F117), 4, 0):INDIRECT("B"&amp;$F118), "*"&amp;$K$2&amp;"*", OFFSET(INDIRECT("C"&amp;$F117), 4, 0):OFFSET(INDIRECT("C"&amp;$F118), -1, 0))</f>
        <v>0</v>
      </c>
      <c r="L117" s="3">
        <f ca="1">SUMIF(OFFSET(INDIRECT("B"&amp;$F117), 4, 0):INDIRECT("B"&amp;$F118), "*"&amp;$L$2&amp;"*", OFFSET(INDIRECT("C"&amp;$F117), 4, 0):OFFSET(INDIRECT("C"&amp;$F118), -1, 0))</f>
        <v>113.28999999999999</v>
      </c>
      <c r="M117" s="3">
        <f ca="1">SUMIF(OFFSET(INDIRECT("B"&amp;$F117), 4, 0):INDIRECT("B"&amp;$F118), "*"&amp;$M$2&amp;"*", OFFSET(INDIRECT("C"&amp;$F117), 4, 0):OFFSET(INDIRECT("C"&amp;$F118), -1, 0))</f>
        <v>54.8</v>
      </c>
      <c r="N117" s="3">
        <f ca="1">SUMIF(OFFSET(INDIRECT("B"&amp;$F117), 4, 0):INDIRECT("B"&amp;$F118), "*"&amp;$N$2&amp;"*", OFFSET(INDIRECT("C"&amp;$F117), 4, 0):OFFSET(INDIRECT("C"&amp;$F118), -1, 0))</f>
        <v>0</v>
      </c>
      <c r="O117" s="3">
        <f ca="1">SUMIF(OFFSET(INDIRECT("B"&amp;$F117), 4, 0):INDIRECT("B"&amp;$F118), "*"&amp;$O$2&amp;"*", OFFSET(INDIRECT("C"&amp;$F117), 4, 0):OFFSET(INDIRECT("C"&amp;$F118), -1, 0))</f>
        <v>0</v>
      </c>
      <c r="P117" s="3">
        <f ca="1">SUMIF(OFFSET(INDIRECT("B"&amp;$F117), 4, 0):INDIRECT("B"&amp;$F118), "*"&amp;$P$2&amp;"*", OFFSET(INDIRECT("C"&amp;$F117), 4, 0):OFFSET(INDIRECT("C"&amp;$F118), -1, 0))</f>
        <v>83.55</v>
      </c>
      <c r="Q117" s="3">
        <f t="shared" ca="1" si="3"/>
        <v>986.43999999999983</v>
      </c>
    </row>
    <row r="118" spans="1:17" x14ac:dyDescent="0.25">
      <c r="A118" s="1">
        <f t="shared" si="2"/>
        <v>0</v>
      </c>
      <c r="B118" s="1" t="s">
        <v>8</v>
      </c>
      <c r="C118" s="1">
        <v>328.8</v>
      </c>
      <c r="D118" s="1">
        <v>7</v>
      </c>
      <c r="F118" s="4" cm="1">
        <f t="array" aca="1" ref="F118" ca="1">INDEX(OFFSET(INDIRECT("A"&amp;F117), 1, 0):OFFSET(OFFSET(INDIRECT("A"&amp;F117), 1, 0), 100, 0),MATCH(TRUE,INDEX(OFFSET(INDIRECT("A"&amp;F117), 1, 0):OFFSET(OFFSET(INDIRECT("A"&amp;F117), 1, 0), 100, 0)&lt;&gt;0,),0))</f>
        <v>2656</v>
      </c>
      <c r="G118" s="1" t="str" cm="1">
        <f t="array" aca="1" ref="G118" ca="1">INDIRECT("B"&amp;$F118)</f>
        <v>EX</v>
      </c>
      <c r="H118" s="3" t="str" cm="1">
        <f t="array" aca="1" ref="H118" ca="1">_xlfn.IFS(COUNTIF($V$3:$V$18, G118)&lt;&gt;0, "S", COUNTIF($W$3:$W$99, G118)&lt;&gt;0, "E", COUNTIF($X$3, G118)&lt;&gt;0, "I", COUNTIF($Y$3:$Y$8, G118)&lt;&gt;0, "W")</f>
        <v>E</v>
      </c>
      <c r="I118" s="3">
        <f ca="1">SUMIF(OFFSET(INDIRECT("B"&amp;$F118), 4, 0):INDIRECT("B"&amp;$F119), "*"&amp;$I$2&amp;"*", OFFSET(INDIRECT("C"&amp;$F118), 4, 0):OFFSET(INDIRECT("C"&amp;$F119), -1, 0))</f>
        <v>506.8</v>
      </c>
      <c r="J118" s="3">
        <f ca="1">SUMIF(OFFSET(INDIRECT("B"&amp;$F118), 4, 0):INDIRECT("B"&amp;$F119), "*"&amp;$J$2&amp;"*", OFFSET(INDIRECT("C"&amp;$F118), 4, 0):OFFSET(INDIRECT("C"&amp;$F119), -1, 0))</f>
        <v>0</v>
      </c>
      <c r="K118" s="3">
        <f ca="1">SUMIF(OFFSET(INDIRECT("B"&amp;$F118), 4, 0):INDIRECT("B"&amp;$F119), "*"&amp;$K$2&amp;"*", OFFSET(INDIRECT("C"&amp;$F118), 4, 0):OFFSET(INDIRECT("C"&amp;$F119), -1, 0))</f>
        <v>0</v>
      </c>
      <c r="L118" s="3">
        <f ca="1">SUMIF(OFFSET(INDIRECT("B"&amp;$F118), 4, 0):INDIRECT("B"&amp;$F119), "*"&amp;$L$2&amp;"*", OFFSET(INDIRECT("C"&amp;$F118), 4, 0):OFFSET(INDIRECT("C"&amp;$F119), -1, 0))</f>
        <v>0</v>
      </c>
      <c r="M118" s="3">
        <f ca="1">SUMIF(OFFSET(INDIRECT("B"&amp;$F118), 4, 0):INDIRECT("B"&amp;$F119), "*"&amp;$M$2&amp;"*", OFFSET(INDIRECT("C"&amp;$F118), 4, 0):OFFSET(INDIRECT("C"&amp;$F119), -1, 0))</f>
        <v>0</v>
      </c>
      <c r="N118" s="3">
        <f ca="1">SUMIF(OFFSET(INDIRECT("B"&amp;$F118), 4, 0):INDIRECT("B"&amp;$F119), "*"&amp;$N$2&amp;"*", OFFSET(INDIRECT("C"&amp;$F118), 4, 0):OFFSET(INDIRECT("C"&amp;$F119), -1, 0))</f>
        <v>28.75</v>
      </c>
      <c r="O118" s="3">
        <f ca="1">SUMIF(OFFSET(INDIRECT("B"&amp;$F118), 4, 0):INDIRECT("B"&amp;$F119), "*"&amp;$O$2&amp;"*", OFFSET(INDIRECT("C"&amp;$F118), 4, 0):OFFSET(INDIRECT("C"&amp;$F119), -1, 0))</f>
        <v>0</v>
      </c>
      <c r="P118" s="3">
        <f ca="1">SUMIF(OFFSET(INDIRECT("B"&amp;$F118), 4, 0):INDIRECT("B"&amp;$F119), "*"&amp;$P$2&amp;"*", OFFSET(INDIRECT("C"&amp;$F118), 4, 0):OFFSET(INDIRECT("C"&amp;$F119), -1, 0))</f>
        <v>208.39999999999998</v>
      </c>
      <c r="Q118" s="3">
        <f t="shared" ca="1" si="3"/>
        <v>743.94999999999993</v>
      </c>
    </row>
    <row r="119" spans="1:17" x14ac:dyDescent="0.25">
      <c r="A119" s="1">
        <f t="shared" si="2"/>
        <v>0</v>
      </c>
      <c r="B119" s="1" t="s">
        <v>59</v>
      </c>
      <c r="C119" s="1">
        <v>40</v>
      </c>
      <c r="D119" s="1">
        <v>1</v>
      </c>
      <c r="F119" s="4" cm="1">
        <f t="array" aca="1" ref="F119" ca="1">INDEX(OFFSET(INDIRECT("A"&amp;F118), 1, 0):OFFSET(OFFSET(INDIRECT("A"&amp;F118), 1, 0), 100, 0),MATCH(TRUE,INDEX(OFFSET(INDIRECT("A"&amp;F118), 1, 0):OFFSET(OFFSET(INDIRECT("A"&amp;F118), 1, 0), 100, 0)&lt;&gt;0,),0))</f>
        <v>2674</v>
      </c>
      <c r="G119" s="1" t="str" cm="1">
        <f t="array" aca="1" ref="G119" ca="1">INDIRECT("B"&amp;$F119)</f>
        <v>SM</v>
      </c>
      <c r="H119" s="3" t="str" cm="1">
        <f t="array" aca="1" ref="H119" ca="1">_xlfn.IFS(COUNTIF($V$3:$V$18, G119)&lt;&gt;0, "S", COUNTIF($W$3:$W$99, G119)&lt;&gt;0, "E", COUNTIF($X$3, G119)&lt;&gt;0, "I", COUNTIF($Y$3:$Y$8, G119)&lt;&gt;0, "W")</f>
        <v>E</v>
      </c>
      <c r="I119" s="3">
        <f ca="1">SUMIF(OFFSET(INDIRECT("B"&amp;$F119), 4, 0):INDIRECT("B"&amp;$F120), "*"&amp;$I$2&amp;"*", OFFSET(INDIRECT("C"&amp;$F119), 4, 0):OFFSET(INDIRECT("C"&amp;$F120), -1, 0))</f>
        <v>264.79999999999995</v>
      </c>
      <c r="J119" s="3">
        <f ca="1">SUMIF(OFFSET(INDIRECT("B"&amp;$F119), 4, 0):INDIRECT("B"&amp;$F120), "*"&amp;$J$2&amp;"*", OFFSET(INDIRECT("C"&amp;$F119), 4, 0):OFFSET(INDIRECT("C"&amp;$F120), -1, 0))</f>
        <v>0</v>
      </c>
      <c r="K119" s="3">
        <f ca="1">SUMIF(OFFSET(INDIRECT("B"&amp;$F119), 4, 0):INDIRECT("B"&amp;$F120), "*"&amp;$K$2&amp;"*", OFFSET(INDIRECT("C"&amp;$F119), 4, 0):OFFSET(INDIRECT("C"&amp;$F120), -1, 0))</f>
        <v>0</v>
      </c>
      <c r="L119" s="3">
        <f ca="1">SUMIF(OFFSET(INDIRECT("B"&amp;$F119), 4, 0):INDIRECT("B"&amp;$F120), "*"&amp;$L$2&amp;"*", OFFSET(INDIRECT("C"&amp;$F119), 4, 0):OFFSET(INDIRECT("C"&amp;$F120), -1, 0))</f>
        <v>0</v>
      </c>
      <c r="M119" s="3">
        <f ca="1">SUMIF(OFFSET(INDIRECT("B"&amp;$F119), 4, 0):INDIRECT("B"&amp;$F120), "*"&amp;$M$2&amp;"*", OFFSET(INDIRECT("C"&amp;$F119), 4, 0):OFFSET(INDIRECT("C"&amp;$F120), -1, 0))</f>
        <v>0</v>
      </c>
      <c r="N119" s="3">
        <f ca="1">SUMIF(OFFSET(INDIRECT("B"&amp;$F119), 4, 0):INDIRECT("B"&amp;$F120), "*"&amp;$N$2&amp;"*", OFFSET(INDIRECT("C"&amp;$F119), 4, 0):OFFSET(INDIRECT("C"&amp;$F120), -1, 0))</f>
        <v>0</v>
      </c>
      <c r="O119" s="3">
        <f ca="1">SUMIF(OFFSET(INDIRECT("B"&amp;$F119), 4, 0):INDIRECT("B"&amp;$F120), "*"&amp;$O$2&amp;"*", OFFSET(INDIRECT("C"&amp;$F119), 4, 0):OFFSET(INDIRECT("C"&amp;$F120), -1, 0))</f>
        <v>0</v>
      </c>
      <c r="P119" s="3">
        <f ca="1">SUMIF(OFFSET(INDIRECT("B"&amp;$F119), 4, 0):INDIRECT("B"&amp;$F120), "*"&amp;$P$2&amp;"*", OFFSET(INDIRECT("C"&amp;$F119), 4, 0):OFFSET(INDIRECT("C"&amp;$F120), -1, 0))</f>
        <v>0</v>
      </c>
      <c r="Q119" s="3">
        <f t="shared" ca="1" si="3"/>
        <v>264.79999999999995</v>
      </c>
    </row>
    <row r="120" spans="1:17" x14ac:dyDescent="0.25">
      <c r="A120" s="1">
        <f t="shared" si="2"/>
        <v>0</v>
      </c>
      <c r="B120" s="1" t="s">
        <v>20</v>
      </c>
      <c r="C120" s="1">
        <v>384</v>
      </c>
      <c r="D120" s="1">
        <v>10</v>
      </c>
      <c r="F120" s="4" cm="1">
        <f t="array" aca="1" ref="F120" ca="1">INDEX(OFFSET(INDIRECT("A"&amp;F119), 1, 0):OFFSET(OFFSET(INDIRECT("A"&amp;F119), 1, 0), 100, 0),MATCH(TRUE,INDEX(OFFSET(INDIRECT("A"&amp;F119), 1, 0):OFFSET(OFFSET(INDIRECT("A"&amp;F119), 1, 0), 100, 0)&lt;&gt;0,),0))</f>
        <v>2682</v>
      </c>
      <c r="G120" s="1" t="str" cm="1">
        <f t="array" aca="1" ref="G120" ca="1">INDIRECT("B"&amp;$F120)</f>
        <v>IG</v>
      </c>
      <c r="H120" s="3" t="str" cm="1">
        <f t="array" aca="1" ref="H120" ca="1">_xlfn.IFS(COUNTIF($V$3:$V$18, G120)&lt;&gt;0, "S", COUNTIF($W$3:$W$99, G120)&lt;&gt;0, "E", COUNTIF($X$3, G120)&lt;&gt;0, "I", COUNTIF($Y$3:$Y$8, G120)&lt;&gt;0, "W")</f>
        <v>E</v>
      </c>
      <c r="I120" s="3">
        <f ca="1">SUMIF(OFFSET(INDIRECT("B"&amp;$F120), 4, 0):INDIRECT("B"&amp;$F121), "*"&amp;$I$2&amp;"*", OFFSET(INDIRECT("C"&amp;$F120), 4, 0):OFFSET(INDIRECT("C"&amp;$F121), -1, 0))</f>
        <v>358.45999999999992</v>
      </c>
      <c r="J120" s="3">
        <f ca="1">SUMIF(OFFSET(INDIRECT("B"&amp;$F120), 4, 0):INDIRECT("B"&amp;$F121), "*"&amp;$J$2&amp;"*", OFFSET(INDIRECT("C"&amp;$F120), 4, 0):OFFSET(INDIRECT("C"&amp;$F121), -1, 0))</f>
        <v>0</v>
      </c>
      <c r="K120" s="3">
        <f ca="1">SUMIF(OFFSET(INDIRECT("B"&amp;$F120), 4, 0):INDIRECT("B"&amp;$F121), "*"&amp;$K$2&amp;"*", OFFSET(INDIRECT("C"&amp;$F120), 4, 0):OFFSET(INDIRECT("C"&amp;$F121), -1, 0))</f>
        <v>38.4</v>
      </c>
      <c r="L120" s="3">
        <f ca="1">SUMIF(OFFSET(INDIRECT("B"&amp;$F120), 4, 0):INDIRECT("B"&amp;$F121), "*"&amp;$L$2&amp;"*", OFFSET(INDIRECT("C"&amp;$F120), 4, 0):OFFSET(INDIRECT("C"&amp;$F121), -1, 0))</f>
        <v>54.8</v>
      </c>
      <c r="M120" s="3">
        <f ca="1">SUMIF(OFFSET(INDIRECT("B"&amp;$F120), 4, 0):INDIRECT("B"&amp;$F121), "*"&amp;$M$2&amp;"*", OFFSET(INDIRECT("C"&amp;$F120), 4, 0):OFFSET(INDIRECT("C"&amp;$F121), -1, 0))</f>
        <v>54.8</v>
      </c>
      <c r="N120" s="3">
        <f ca="1">SUMIF(OFFSET(INDIRECT("B"&amp;$F120), 4, 0):INDIRECT("B"&amp;$F121), "*"&amp;$N$2&amp;"*", OFFSET(INDIRECT("C"&amp;$F120), 4, 0):OFFSET(INDIRECT("C"&amp;$F121), -1, 0))</f>
        <v>0</v>
      </c>
      <c r="O120" s="3">
        <f ca="1">SUMIF(OFFSET(INDIRECT("B"&amp;$F120), 4, 0):INDIRECT("B"&amp;$F121), "*"&amp;$O$2&amp;"*", OFFSET(INDIRECT("C"&amp;$F120), 4, 0):OFFSET(INDIRECT("C"&amp;$F121), -1, 0))</f>
        <v>0</v>
      </c>
      <c r="P120" s="3">
        <f ca="1">SUMIF(OFFSET(INDIRECT("B"&amp;$F120), 4, 0):INDIRECT("B"&amp;$F121), "*"&amp;$P$2&amp;"*", OFFSET(INDIRECT("C"&amp;$F120), 4, 0):OFFSET(INDIRECT("C"&amp;$F121), -1, 0))</f>
        <v>38.4</v>
      </c>
      <c r="Q120" s="3">
        <f t="shared" ca="1" si="3"/>
        <v>544.8599999999999</v>
      </c>
    </row>
    <row r="121" spans="1:17" x14ac:dyDescent="0.25">
      <c r="A121" s="1">
        <f t="shared" si="2"/>
        <v>0</v>
      </c>
      <c r="B121" s="1" t="s">
        <v>33</v>
      </c>
      <c r="C121" s="1">
        <v>80</v>
      </c>
      <c r="D121" s="1">
        <v>2</v>
      </c>
      <c r="F121" s="4">
        <v>2721</v>
      </c>
      <c r="I121" s="3">
        <f ca="1">SUM(I3:I120)</f>
        <v>106157.86000000002</v>
      </c>
      <c r="J121" s="3">
        <f ca="1">SUM(J3:J120)</f>
        <v>10740.929999999995</v>
      </c>
      <c r="K121" s="3">
        <f t="shared" ref="K121:L121" ca="1" si="4">SUM(K3:K120)</f>
        <v>7156.2699999999968</v>
      </c>
      <c r="L121" s="3">
        <f t="shared" ca="1" si="4"/>
        <v>18230.060000000012</v>
      </c>
      <c r="M121" s="3">
        <f t="shared" ref="M121" ca="1" si="5">SUM(M3:M120)</f>
        <v>19468.400000000005</v>
      </c>
      <c r="N121" s="3">
        <f t="shared" ref="N121:P121" ca="1" si="6">SUM(N3:N120)</f>
        <v>8322.0699999999979</v>
      </c>
      <c r="O121" s="3">
        <f t="shared" ca="1" si="6"/>
        <v>4843.2000000000007</v>
      </c>
      <c r="P121" s="3">
        <f t="shared" ca="1" si="6"/>
        <v>50248.890000000021</v>
      </c>
    </row>
    <row r="122" spans="1:17" x14ac:dyDescent="0.25">
      <c r="A122" s="1">
        <f t="shared" si="2"/>
        <v>0</v>
      </c>
      <c r="B122" s="1" t="s">
        <v>18</v>
      </c>
      <c r="C122" s="1">
        <v>307.2</v>
      </c>
      <c r="D122" s="1">
        <v>8</v>
      </c>
      <c r="F122" s="4"/>
    </row>
    <row r="123" spans="1:17" x14ac:dyDescent="0.25">
      <c r="A123" s="1">
        <f t="shared" si="2"/>
        <v>0</v>
      </c>
      <c r="B123" s="1" t="s">
        <v>25</v>
      </c>
      <c r="C123" s="1">
        <v>40</v>
      </c>
      <c r="D123" s="1">
        <v>1</v>
      </c>
      <c r="F123" s="4"/>
      <c r="H123" s="8"/>
    </row>
    <row r="124" spans="1:17" x14ac:dyDescent="0.25">
      <c r="A124" s="1">
        <f t="shared" si="2"/>
        <v>0</v>
      </c>
      <c r="B124" s="1" t="s">
        <v>9</v>
      </c>
      <c r="C124" s="1">
        <v>109.6</v>
      </c>
      <c r="D124" s="1">
        <v>2</v>
      </c>
      <c r="F124" s="4"/>
      <c r="H124" s="8"/>
    </row>
    <row r="125" spans="1:17" x14ac:dyDescent="0.25">
      <c r="A125" s="1">
        <f t="shared" si="2"/>
        <v>0</v>
      </c>
      <c r="B125" s="1" t="s">
        <v>21</v>
      </c>
      <c r="C125" s="1">
        <v>164.4</v>
      </c>
      <c r="D125" s="1">
        <v>4</v>
      </c>
      <c r="F125" s="4"/>
      <c r="H125" s="8"/>
    </row>
    <row r="126" spans="1:17" x14ac:dyDescent="0.25">
      <c r="A126" s="1">
        <f t="shared" si="2"/>
        <v>0</v>
      </c>
      <c r="B126" s="1" t="s">
        <v>27</v>
      </c>
      <c r="C126" s="1">
        <v>38.4</v>
      </c>
      <c r="D126" s="1">
        <v>1</v>
      </c>
      <c r="F126" s="4"/>
      <c r="H126" s="8"/>
    </row>
    <row r="127" spans="1:17" x14ac:dyDescent="0.25">
      <c r="A127" s="1">
        <f t="shared" si="2"/>
        <v>0</v>
      </c>
      <c r="B127" s="1" t="s">
        <v>49</v>
      </c>
      <c r="C127" s="1">
        <v>120</v>
      </c>
      <c r="D127" s="1">
        <v>3</v>
      </c>
    </row>
    <row r="128" spans="1:17" x14ac:dyDescent="0.25">
      <c r="A128" s="1">
        <f t="shared" si="2"/>
        <v>0</v>
      </c>
      <c r="B128" s="1" t="s">
        <v>16</v>
      </c>
      <c r="C128" s="1">
        <v>70.400000000000006</v>
      </c>
      <c r="D128" s="1">
        <v>2</v>
      </c>
    </row>
    <row r="129" spans="1:4" x14ac:dyDescent="0.25">
      <c r="A129" s="1">
        <f t="shared" si="2"/>
        <v>0</v>
      </c>
      <c r="B129" s="1" t="s">
        <v>54</v>
      </c>
      <c r="C129" s="1">
        <v>76.8</v>
      </c>
      <c r="D129" s="1">
        <v>2</v>
      </c>
    </row>
    <row r="130" spans="1:4" x14ac:dyDescent="0.25">
      <c r="A130" s="1">
        <f t="shared" ref="A130:A193" si="7">IF(COUNTIF($V$3:$Y$99, $B130)&lt;&gt;0, ROW($B130), 0)</f>
        <v>0</v>
      </c>
      <c r="B130" s="1" t="s">
        <v>10</v>
      </c>
      <c r="C130" s="1">
        <v>76.8</v>
      </c>
      <c r="D130" s="1">
        <v>2</v>
      </c>
    </row>
    <row r="131" spans="1:4" x14ac:dyDescent="0.25">
      <c r="A131" s="1">
        <f t="shared" si="7"/>
        <v>0</v>
      </c>
      <c r="B131" s="1" t="s">
        <v>12</v>
      </c>
      <c r="C131" s="1">
        <v>105</v>
      </c>
      <c r="D131" s="1">
        <v>3</v>
      </c>
    </row>
    <row r="132" spans="1:4" x14ac:dyDescent="0.25">
      <c r="A132" s="1">
        <f t="shared" si="7"/>
        <v>0</v>
      </c>
      <c r="B132" s="1" t="s">
        <v>41</v>
      </c>
      <c r="C132" s="1">
        <v>28.75</v>
      </c>
      <c r="D132" s="1">
        <v>1</v>
      </c>
    </row>
    <row r="133" spans="1:4" x14ac:dyDescent="0.25">
      <c r="A133" s="1">
        <f t="shared" si="7"/>
        <v>0</v>
      </c>
      <c r="B133" s="1" t="s">
        <v>19</v>
      </c>
      <c r="C133" s="1">
        <v>28.75</v>
      </c>
      <c r="D133" s="1">
        <v>1</v>
      </c>
    </row>
    <row r="134" spans="1:4" x14ac:dyDescent="0.25">
      <c r="A134" s="1">
        <f t="shared" si="7"/>
        <v>0</v>
      </c>
      <c r="B134" s="1" t="s">
        <v>44</v>
      </c>
      <c r="C134" s="1">
        <v>38.4</v>
      </c>
      <c r="D134" s="1">
        <v>1</v>
      </c>
    </row>
    <row r="135" spans="1:4" x14ac:dyDescent="0.25">
      <c r="A135" s="1">
        <f t="shared" si="7"/>
        <v>135</v>
      </c>
      <c r="B135" s="1" t="s">
        <v>60</v>
      </c>
    </row>
    <row r="136" spans="1:4" x14ac:dyDescent="0.25">
      <c r="A136" s="1">
        <f t="shared" si="7"/>
        <v>0</v>
      </c>
      <c r="B136" s="1" t="s">
        <v>1</v>
      </c>
      <c r="C136" s="1">
        <v>453</v>
      </c>
    </row>
    <row r="137" spans="1:4" x14ac:dyDescent="0.25">
      <c r="A137" s="1">
        <f t="shared" si="7"/>
        <v>0</v>
      </c>
      <c r="B137" s="1" t="s">
        <v>2</v>
      </c>
      <c r="C137" s="1">
        <v>17004.37</v>
      </c>
    </row>
    <row r="138" spans="1:4" x14ac:dyDescent="0.25">
      <c r="A138" s="1">
        <f t="shared" si="7"/>
        <v>0</v>
      </c>
      <c r="B138" s="1" t="s">
        <v>3</v>
      </c>
      <c r="C138" s="1" t="s">
        <v>4</v>
      </c>
      <c r="D138" s="1" t="s">
        <v>5</v>
      </c>
    </row>
    <row r="139" spans="1:4" x14ac:dyDescent="0.25">
      <c r="A139" s="1">
        <f t="shared" si="7"/>
        <v>0</v>
      </c>
      <c r="B139" s="1" t="s">
        <v>17</v>
      </c>
      <c r="C139" s="1">
        <v>1843.2</v>
      </c>
      <c r="D139" s="1">
        <v>58</v>
      </c>
    </row>
    <row r="140" spans="1:4" x14ac:dyDescent="0.25">
      <c r="A140" s="1">
        <f t="shared" si="7"/>
        <v>0</v>
      </c>
      <c r="B140" s="1" t="s">
        <v>13</v>
      </c>
      <c r="C140" s="1">
        <v>691.2</v>
      </c>
      <c r="D140" s="1">
        <v>28</v>
      </c>
    </row>
    <row r="141" spans="1:4" x14ac:dyDescent="0.25">
      <c r="A141" s="1">
        <f t="shared" si="7"/>
        <v>0</v>
      </c>
      <c r="B141" s="1" t="s">
        <v>61</v>
      </c>
      <c r="C141" s="1">
        <v>576</v>
      </c>
      <c r="D141" s="1">
        <v>11</v>
      </c>
    </row>
    <row r="142" spans="1:4" x14ac:dyDescent="0.25">
      <c r="A142" s="1">
        <f t="shared" si="7"/>
        <v>0</v>
      </c>
      <c r="B142" s="1" t="s">
        <v>20</v>
      </c>
      <c r="C142" s="1">
        <v>1228.8</v>
      </c>
      <c r="D142" s="1">
        <v>33</v>
      </c>
    </row>
    <row r="143" spans="1:4" x14ac:dyDescent="0.25">
      <c r="A143" s="1">
        <f t="shared" si="7"/>
        <v>0</v>
      </c>
      <c r="B143" s="1" t="s">
        <v>40</v>
      </c>
      <c r="C143" s="1">
        <v>822</v>
      </c>
      <c r="D143" s="1">
        <v>15</v>
      </c>
    </row>
    <row r="144" spans="1:4" x14ac:dyDescent="0.25">
      <c r="A144" s="1">
        <f t="shared" si="7"/>
        <v>0</v>
      </c>
      <c r="B144" s="1" t="s">
        <v>19</v>
      </c>
      <c r="C144" s="1">
        <v>258.75</v>
      </c>
      <c r="D144" s="1">
        <v>9</v>
      </c>
    </row>
    <row r="145" spans="1:4" x14ac:dyDescent="0.25">
      <c r="A145" s="1">
        <f t="shared" si="7"/>
        <v>0</v>
      </c>
      <c r="B145" s="1" t="s">
        <v>8</v>
      </c>
      <c r="C145" s="1">
        <v>1096</v>
      </c>
      <c r="D145" s="1">
        <v>20</v>
      </c>
    </row>
    <row r="146" spans="1:4" x14ac:dyDescent="0.25">
      <c r="A146" s="1">
        <f t="shared" si="7"/>
        <v>0</v>
      </c>
      <c r="B146" s="1" t="s">
        <v>10</v>
      </c>
      <c r="C146" s="1">
        <v>115.2</v>
      </c>
      <c r="D146" s="1">
        <v>3</v>
      </c>
    </row>
    <row r="147" spans="1:4" x14ac:dyDescent="0.25">
      <c r="A147" s="1">
        <f t="shared" si="7"/>
        <v>0</v>
      </c>
      <c r="B147" s="1" t="s">
        <v>12</v>
      </c>
      <c r="C147" s="1">
        <v>840</v>
      </c>
      <c r="D147" s="1">
        <v>25</v>
      </c>
    </row>
    <row r="148" spans="1:4" x14ac:dyDescent="0.25">
      <c r="A148" s="1">
        <f t="shared" si="7"/>
        <v>0</v>
      </c>
      <c r="B148" s="1" t="s">
        <v>33</v>
      </c>
      <c r="C148" s="1">
        <v>120</v>
      </c>
      <c r="D148" s="1">
        <v>3</v>
      </c>
    </row>
    <row r="149" spans="1:4" x14ac:dyDescent="0.25">
      <c r="A149" s="1">
        <f t="shared" si="7"/>
        <v>0</v>
      </c>
      <c r="B149" s="1" t="s">
        <v>21</v>
      </c>
      <c r="C149" s="1">
        <v>1315.2</v>
      </c>
      <c r="D149" s="1">
        <v>24</v>
      </c>
    </row>
    <row r="150" spans="1:4" x14ac:dyDescent="0.25">
      <c r="A150" s="1">
        <f t="shared" si="7"/>
        <v>0</v>
      </c>
      <c r="B150" s="1" t="s">
        <v>18</v>
      </c>
      <c r="C150" s="1">
        <v>1996.8</v>
      </c>
      <c r="D150" s="1">
        <v>56</v>
      </c>
    </row>
    <row r="151" spans="1:4" x14ac:dyDescent="0.25">
      <c r="A151" s="1">
        <f t="shared" si="7"/>
        <v>0</v>
      </c>
      <c r="B151" s="1" t="s">
        <v>26</v>
      </c>
      <c r="C151" s="1">
        <v>337.5</v>
      </c>
      <c r="D151" s="1">
        <v>11</v>
      </c>
    </row>
    <row r="152" spans="1:4" x14ac:dyDescent="0.25">
      <c r="A152" s="1">
        <f t="shared" si="7"/>
        <v>0</v>
      </c>
      <c r="B152" s="1" t="s">
        <v>14</v>
      </c>
      <c r="C152" s="1">
        <v>86.25</v>
      </c>
      <c r="D152" s="1">
        <v>3</v>
      </c>
    </row>
    <row r="153" spans="1:4" x14ac:dyDescent="0.25">
      <c r="A153" s="1">
        <f t="shared" si="7"/>
        <v>0</v>
      </c>
      <c r="B153" s="1" t="s">
        <v>7</v>
      </c>
      <c r="C153" s="1">
        <v>548</v>
      </c>
      <c r="D153" s="1">
        <v>12</v>
      </c>
    </row>
    <row r="154" spans="1:4" x14ac:dyDescent="0.25">
      <c r="A154" s="1">
        <f t="shared" si="7"/>
        <v>0</v>
      </c>
      <c r="B154" s="1" t="s">
        <v>28</v>
      </c>
      <c r="C154" s="1">
        <v>76.8</v>
      </c>
      <c r="D154" s="1">
        <v>2</v>
      </c>
    </row>
    <row r="155" spans="1:4" x14ac:dyDescent="0.25">
      <c r="A155" s="1">
        <f t="shared" si="7"/>
        <v>0</v>
      </c>
      <c r="B155" s="1" t="s">
        <v>51</v>
      </c>
      <c r="C155" s="1">
        <v>115.2</v>
      </c>
      <c r="D155" s="1">
        <v>3</v>
      </c>
    </row>
    <row r="156" spans="1:4" x14ac:dyDescent="0.25">
      <c r="A156" s="1">
        <f t="shared" si="7"/>
        <v>0</v>
      </c>
      <c r="B156" s="1" t="s">
        <v>27</v>
      </c>
      <c r="C156" s="1">
        <v>384</v>
      </c>
      <c r="D156" s="1">
        <v>10</v>
      </c>
    </row>
    <row r="157" spans="1:4" x14ac:dyDescent="0.25">
      <c r="A157" s="1">
        <f t="shared" si="7"/>
        <v>0</v>
      </c>
      <c r="B157" s="1" t="s">
        <v>6</v>
      </c>
      <c r="C157" s="1">
        <v>164.4</v>
      </c>
      <c r="D157" s="1">
        <v>8</v>
      </c>
    </row>
    <row r="158" spans="1:4" x14ac:dyDescent="0.25">
      <c r="A158" s="1">
        <f t="shared" si="7"/>
        <v>0</v>
      </c>
      <c r="B158" s="1" t="s">
        <v>30</v>
      </c>
      <c r="C158" s="1">
        <v>31.98</v>
      </c>
      <c r="D158" s="1">
        <v>2</v>
      </c>
    </row>
    <row r="159" spans="1:4" x14ac:dyDescent="0.25">
      <c r="A159" s="1">
        <f t="shared" si="7"/>
        <v>0</v>
      </c>
      <c r="B159" s="1" t="s">
        <v>62</v>
      </c>
      <c r="C159" s="1">
        <v>268.8</v>
      </c>
      <c r="D159" s="1">
        <v>7</v>
      </c>
    </row>
    <row r="160" spans="1:4" x14ac:dyDescent="0.25">
      <c r="A160" s="1">
        <f t="shared" si="7"/>
        <v>0</v>
      </c>
      <c r="B160" s="1" t="s">
        <v>9</v>
      </c>
      <c r="C160" s="1">
        <v>602.79999999999995</v>
      </c>
      <c r="D160" s="1">
        <v>12</v>
      </c>
    </row>
    <row r="161" spans="1:4" x14ac:dyDescent="0.25">
      <c r="A161" s="1">
        <f t="shared" si="7"/>
        <v>0</v>
      </c>
      <c r="B161" s="1" t="s">
        <v>22</v>
      </c>
      <c r="C161" s="1">
        <v>438.4</v>
      </c>
      <c r="D161" s="1">
        <v>10</v>
      </c>
    </row>
    <row r="162" spans="1:4" x14ac:dyDescent="0.25">
      <c r="A162" s="1">
        <f t="shared" si="7"/>
        <v>0</v>
      </c>
      <c r="B162" s="1" t="s">
        <v>50</v>
      </c>
      <c r="C162" s="1">
        <v>42.5</v>
      </c>
      <c r="D162" s="1">
        <v>1</v>
      </c>
    </row>
    <row r="163" spans="1:4" x14ac:dyDescent="0.25">
      <c r="A163" s="1">
        <f t="shared" si="7"/>
        <v>0</v>
      </c>
      <c r="B163" s="1" t="s">
        <v>63</v>
      </c>
      <c r="C163" s="1">
        <v>76.8</v>
      </c>
      <c r="D163" s="1">
        <v>2</v>
      </c>
    </row>
    <row r="164" spans="1:4" x14ac:dyDescent="0.25">
      <c r="A164" s="1">
        <f t="shared" si="7"/>
        <v>0</v>
      </c>
      <c r="B164" s="1" t="s">
        <v>35</v>
      </c>
      <c r="C164" s="1">
        <v>76.8</v>
      </c>
      <c r="D164" s="1">
        <v>2</v>
      </c>
    </row>
    <row r="165" spans="1:4" x14ac:dyDescent="0.25">
      <c r="A165" s="1">
        <f t="shared" si="7"/>
        <v>0</v>
      </c>
      <c r="B165" s="1" t="s">
        <v>39</v>
      </c>
      <c r="C165" s="1">
        <v>120</v>
      </c>
      <c r="D165" s="1">
        <v>4</v>
      </c>
    </row>
    <row r="166" spans="1:4" x14ac:dyDescent="0.25">
      <c r="A166" s="1">
        <f t="shared" si="7"/>
        <v>0</v>
      </c>
      <c r="B166" s="1" t="s">
        <v>49</v>
      </c>
      <c r="C166" s="1">
        <v>160</v>
      </c>
      <c r="D166" s="1">
        <v>4</v>
      </c>
    </row>
    <row r="167" spans="1:4" x14ac:dyDescent="0.25">
      <c r="A167" s="1">
        <f t="shared" si="7"/>
        <v>0</v>
      </c>
      <c r="B167" s="1" t="s">
        <v>16</v>
      </c>
      <c r="C167" s="1">
        <v>140.80000000000001</v>
      </c>
      <c r="D167" s="1">
        <v>4</v>
      </c>
    </row>
    <row r="168" spans="1:4" x14ac:dyDescent="0.25">
      <c r="A168" s="1">
        <f t="shared" si="7"/>
        <v>0</v>
      </c>
      <c r="B168" s="1" t="s">
        <v>53</v>
      </c>
      <c r="C168" s="1">
        <v>28.75</v>
      </c>
      <c r="D168" s="1">
        <v>1</v>
      </c>
    </row>
    <row r="169" spans="1:4" x14ac:dyDescent="0.25">
      <c r="A169" s="1">
        <f t="shared" si="7"/>
        <v>0</v>
      </c>
      <c r="B169" s="1" t="s">
        <v>64</v>
      </c>
      <c r="C169" s="1">
        <v>38.4</v>
      </c>
      <c r="D169" s="1">
        <v>1</v>
      </c>
    </row>
    <row r="170" spans="1:4" x14ac:dyDescent="0.25">
      <c r="A170" s="1">
        <f t="shared" si="7"/>
        <v>0</v>
      </c>
      <c r="B170" s="1" t="s">
        <v>36</v>
      </c>
      <c r="C170" s="1">
        <v>291.83999999999997</v>
      </c>
      <c r="D170" s="1">
        <v>9</v>
      </c>
    </row>
    <row r="171" spans="1:4" x14ac:dyDescent="0.25">
      <c r="A171" s="1">
        <f t="shared" si="7"/>
        <v>0</v>
      </c>
      <c r="B171" s="1" t="s">
        <v>54</v>
      </c>
      <c r="C171" s="1">
        <v>307.2</v>
      </c>
      <c r="D171" s="1">
        <v>8</v>
      </c>
    </row>
    <row r="172" spans="1:4" x14ac:dyDescent="0.25">
      <c r="A172" s="1">
        <f t="shared" si="7"/>
        <v>0</v>
      </c>
      <c r="B172" s="1" t="s">
        <v>42</v>
      </c>
      <c r="C172" s="1">
        <v>40</v>
      </c>
      <c r="D172" s="1">
        <v>1</v>
      </c>
    </row>
    <row r="173" spans="1:4" x14ac:dyDescent="0.25">
      <c r="A173" s="1">
        <f t="shared" si="7"/>
        <v>0</v>
      </c>
      <c r="B173" s="1" t="s">
        <v>56</v>
      </c>
      <c r="C173" s="1">
        <v>345.6</v>
      </c>
      <c r="D173" s="1">
        <v>9</v>
      </c>
    </row>
    <row r="174" spans="1:4" x14ac:dyDescent="0.25">
      <c r="A174" s="1">
        <f t="shared" si="7"/>
        <v>0</v>
      </c>
      <c r="B174" s="1" t="s">
        <v>41</v>
      </c>
      <c r="C174" s="1">
        <v>230</v>
      </c>
      <c r="D174" s="1">
        <v>8</v>
      </c>
    </row>
    <row r="175" spans="1:4" x14ac:dyDescent="0.25">
      <c r="A175" s="1">
        <f t="shared" si="7"/>
        <v>0</v>
      </c>
      <c r="B175" s="1" t="s">
        <v>65</v>
      </c>
      <c r="C175" s="1">
        <v>99.9</v>
      </c>
      <c r="D175" s="1">
        <v>2</v>
      </c>
    </row>
    <row r="176" spans="1:4" x14ac:dyDescent="0.25">
      <c r="A176" s="1">
        <f t="shared" si="7"/>
        <v>0</v>
      </c>
      <c r="B176" s="1" t="s">
        <v>66</v>
      </c>
      <c r="C176" s="1">
        <v>49.95</v>
      </c>
      <c r="D176" s="1">
        <v>1</v>
      </c>
    </row>
    <row r="177" spans="1:4" x14ac:dyDescent="0.25">
      <c r="A177" s="1">
        <f t="shared" si="7"/>
        <v>0</v>
      </c>
      <c r="B177" s="1" t="s">
        <v>11</v>
      </c>
      <c r="C177" s="1">
        <v>80</v>
      </c>
      <c r="D177" s="1">
        <v>2</v>
      </c>
    </row>
    <row r="178" spans="1:4" x14ac:dyDescent="0.25">
      <c r="A178" s="1">
        <f t="shared" si="7"/>
        <v>0</v>
      </c>
      <c r="B178" s="1" t="s">
        <v>55</v>
      </c>
      <c r="C178" s="1">
        <v>153.6</v>
      </c>
      <c r="D178" s="1">
        <v>9</v>
      </c>
    </row>
    <row r="179" spans="1:4" x14ac:dyDescent="0.25">
      <c r="A179" s="1">
        <f t="shared" si="7"/>
        <v>0</v>
      </c>
      <c r="B179" s="1" t="s">
        <v>57</v>
      </c>
      <c r="C179" s="1">
        <v>80</v>
      </c>
      <c r="D179" s="1">
        <v>4</v>
      </c>
    </row>
    <row r="180" spans="1:4" x14ac:dyDescent="0.25">
      <c r="A180" s="1">
        <f t="shared" si="7"/>
        <v>0</v>
      </c>
      <c r="B180" s="1" t="s">
        <v>67</v>
      </c>
      <c r="C180" s="1">
        <v>49.95</v>
      </c>
      <c r="D180" s="1">
        <v>1</v>
      </c>
    </row>
    <row r="181" spans="1:4" x14ac:dyDescent="0.25">
      <c r="A181" s="1">
        <f t="shared" si="7"/>
        <v>0</v>
      </c>
      <c r="B181" s="1" t="s">
        <v>15</v>
      </c>
      <c r="C181" s="1">
        <v>136</v>
      </c>
      <c r="D181" s="1">
        <v>2</v>
      </c>
    </row>
    <row r="182" spans="1:4" x14ac:dyDescent="0.25">
      <c r="A182" s="1">
        <f t="shared" si="7"/>
        <v>0</v>
      </c>
      <c r="B182" s="1" t="s">
        <v>47</v>
      </c>
      <c r="C182" s="1">
        <v>64</v>
      </c>
      <c r="D182" s="1">
        <v>1</v>
      </c>
    </row>
    <row r="183" spans="1:4" x14ac:dyDescent="0.25">
      <c r="A183" s="1">
        <f t="shared" si="7"/>
        <v>0</v>
      </c>
      <c r="B183" s="1" t="s">
        <v>44</v>
      </c>
      <c r="C183" s="1">
        <v>192</v>
      </c>
      <c r="D183" s="1">
        <v>6</v>
      </c>
    </row>
    <row r="184" spans="1:4" x14ac:dyDescent="0.25">
      <c r="A184" s="1">
        <f t="shared" si="7"/>
        <v>0</v>
      </c>
      <c r="B184" s="1" t="s">
        <v>45</v>
      </c>
      <c r="C184" s="1">
        <v>86.25</v>
      </c>
      <c r="D184" s="1">
        <v>3</v>
      </c>
    </row>
    <row r="185" spans="1:4" x14ac:dyDescent="0.25">
      <c r="A185" s="1">
        <f t="shared" si="7"/>
        <v>0</v>
      </c>
      <c r="B185" s="1" t="s">
        <v>52</v>
      </c>
      <c r="C185" s="1">
        <v>64</v>
      </c>
      <c r="D185" s="1">
        <v>1</v>
      </c>
    </row>
    <row r="186" spans="1:4" x14ac:dyDescent="0.25">
      <c r="A186" s="1">
        <f t="shared" si="7"/>
        <v>0</v>
      </c>
      <c r="B186" s="1" t="s">
        <v>68</v>
      </c>
      <c r="C186" s="1">
        <v>28.75</v>
      </c>
      <c r="D186" s="1">
        <v>1</v>
      </c>
    </row>
    <row r="187" spans="1:4" x14ac:dyDescent="0.25">
      <c r="A187" s="1">
        <f t="shared" si="7"/>
        <v>0</v>
      </c>
      <c r="B187" s="1" t="s">
        <v>69</v>
      </c>
      <c r="C187" s="1">
        <v>64</v>
      </c>
      <c r="D187" s="1">
        <v>1</v>
      </c>
    </row>
    <row r="188" spans="1:4" x14ac:dyDescent="0.25">
      <c r="A188" s="1">
        <f t="shared" si="7"/>
        <v>188</v>
      </c>
      <c r="B188" s="1" t="s">
        <v>70</v>
      </c>
    </row>
    <row r="189" spans="1:4" x14ac:dyDescent="0.25">
      <c r="A189" s="1">
        <f t="shared" si="7"/>
        <v>0</v>
      </c>
      <c r="B189" s="1" t="s">
        <v>1</v>
      </c>
      <c r="C189" s="1">
        <v>56</v>
      </c>
    </row>
    <row r="190" spans="1:4" x14ac:dyDescent="0.25">
      <c r="A190" s="1">
        <f t="shared" si="7"/>
        <v>0</v>
      </c>
      <c r="B190" s="1" t="s">
        <v>2</v>
      </c>
      <c r="C190" s="1">
        <v>2237.71</v>
      </c>
    </row>
    <row r="191" spans="1:4" x14ac:dyDescent="0.25">
      <c r="A191" s="1">
        <f t="shared" si="7"/>
        <v>0</v>
      </c>
      <c r="B191" s="1" t="s">
        <v>3</v>
      </c>
      <c r="C191" s="1" t="s">
        <v>4</v>
      </c>
      <c r="D191" s="1" t="s">
        <v>5</v>
      </c>
    </row>
    <row r="192" spans="1:4" x14ac:dyDescent="0.25">
      <c r="A192" s="1">
        <f t="shared" si="7"/>
        <v>0</v>
      </c>
      <c r="B192" s="1" t="s">
        <v>49</v>
      </c>
      <c r="C192" s="1">
        <v>120</v>
      </c>
      <c r="D192" s="1">
        <v>3</v>
      </c>
    </row>
    <row r="193" spans="1:4" x14ac:dyDescent="0.25">
      <c r="A193" s="1">
        <f t="shared" si="7"/>
        <v>0</v>
      </c>
      <c r="B193" s="1" t="s">
        <v>22</v>
      </c>
      <c r="C193" s="1">
        <v>54.8</v>
      </c>
      <c r="D193" s="1">
        <v>1</v>
      </c>
    </row>
    <row r="194" spans="1:4" x14ac:dyDescent="0.25">
      <c r="A194" s="1">
        <f t="shared" ref="A194:A257" si="8">IF(COUNTIF($V$3:$Y$99, $B194)&lt;&gt;0, ROW($B194), 0)</f>
        <v>0</v>
      </c>
      <c r="B194" s="1" t="s">
        <v>17</v>
      </c>
      <c r="C194" s="1">
        <v>76.8</v>
      </c>
      <c r="D194" s="1">
        <v>2</v>
      </c>
    </row>
    <row r="195" spans="1:4" x14ac:dyDescent="0.25">
      <c r="A195" s="1">
        <f t="shared" si="8"/>
        <v>0</v>
      </c>
      <c r="B195" s="1" t="s">
        <v>20</v>
      </c>
      <c r="C195" s="1">
        <v>499.2</v>
      </c>
      <c r="D195" s="1">
        <v>13</v>
      </c>
    </row>
    <row r="196" spans="1:4" x14ac:dyDescent="0.25">
      <c r="A196" s="1">
        <f t="shared" si="8"/>
        <v>0</v>
      </c>
      <c r="B196" s="1" t="s">
        <v>31</v>
      </c>
      <c r="C196" s="1">
        <v>34.56</v>
      </c>
      <c r="D196" s="1">
        <v>1</v>
      </c>
    </row>
    <row r="197" spans="1:4" x14ac:dyDescent="0.25">
      <c r="A197" s="1">
        <f t="shared" si="8"/>
        <v>0</v>
      </c>
      <c r="B197" s="1" t="s">
        <v>12</v>
      </c>
      <c r="C197" s="1">
        <v>210</v>
      </c>
      <c r="D197" s="1">
        <v>6</v>
      </c>
    </row>
    <row r="198" spans="1:4" x14ac:dyDescent="0.25">
      <c r="A198" s="1">
        <f t="shared" si="8"/>
        <v>0</v>
      </c>
      <c r="B198" s="1" t="s">
        <v>16</v>
      </c>
      <c r="C198" s="1">
        <v>35.200000000000003</v>
      </c>
      <c r="D198" s="1">
        <v>1</v>
      </c>
    </row>
    <row r="199" spans="1:4" x14ac:dyDescent="0.25">
      <c r="A199" s="1">
        <f t="shared" si="8"/>
        <v>0</v>
      </c>
      <c r="B199" s="1" t="s">
        <v>15</v>
      </c>
      <c r="C199" s="1">
        <v>68</v>
      </c>
      <c r="D199" s="1">
        <v>1</v>
      </c>
    </row>
    <row r="200" spans="1:4" x14ac:dyDescent="0.25">
      <c r="A200" s="1">
        <f t="shared" si="8"/>
        <v>0</v>
      </c>
      <c r="B200" s="1" t="s">
        <v>18</v>
      </c>
      <c r="C200" s="1">
        <v>345.6</v>
      </c>
      <c r="D200" s="1">
        <v>9</v>
      </c>
    </row>
    <row r="201" spans="1:4" x14ac:dyDescent="0.25">
      <c r="A201" s="1">
        <f t="shared" si="8"/>
        <v>0</v>
      </c>
      <c r="B201" s="1" t="s">
        <v>13</v>
      </c>
      <c r="C201" s="1">
        <v>38.4</v>
      </c>
      <c r="D201" s="1">
        <v>1</v>
      </c>
    </row>
    <row r="202" spans="1:4" x14ac:dyDescent="0.25">
      <c r="A202" s="1">
        <f t="shared" si="8"/>
        <v>0</v>
      </c>
      <c r="B202" s="1" t="s">
        <v>9</v>
      </c>
      <c r="C202" s="1">
        <v>54.8</v>
      </c>
      <c r="D202" s="1">
        <v>1</v>
      </c>
    </row>
    <row r="203" spans="1:4" x14ac:dyDescent="0.25">
      <c r="A203" s="1">
        <f t="shared" si="8"/>
        <v>0</v>
      </c>
      <c r="B203" s="1" t="s">
        <v>54</v>
      </c>
      <c r="C203" s="1">
        <v>153.6</v>
      </c>
      <c r="D203" s="1">
        <v>4</v>
      </c>
    </row>
    <row r="204" spans="1:4" x14ac:dyDescent="0.25">
      <c r="A204" s="1">
        <f t="shared" si="8"/>
        <v>0</v>
      </c>
      <c r="B204" s="1" t="s">
        <v>64</v>
      </c>
      <c r="C204" s="1">
        <v>38.4</v>
      </c>
      <c r="D204" s="1">
        <v>1</v>
      </c>
    </row>
    <row r="205" spans="1:4" x14ac:dyDescent="0.25">
      <c r="A205" s="1">
        <f t="shared" si="8"/>
        <v>0</v>
      </c>
      <c r="B205" s="1" t="s">
        <v>8</v>
      </c>
      <c r="C205" s="1">
        <v>109.6</v>
      </c>
      <c r="D205" s="1">
        <v>2</v>
      </c>
    </row>
    <row r="206" spans="1:4" x14ac:dyDescent="0.25">
      <c r="A206" s="1">
        <f t="shared" si="8"/>
        <v>0</v>
      </c>
      <c r="B206" s="1" t="s">
        <v>33</v>
      </c>
      <c r="C206" s="1">
        <v>120</v>
      </c>
      <c r="D206" s="1">
        <v>3</v>
      </c>
    </row>
    <row r="207" spans="1:4" x14ac:dyDescent="0.25">
      <c r="A207" s="1">
        <f t="shared" si="8"/>
        <v>0</v>
      </c>
      <c r="B207" s="1" t="s">
        <v>71</v>
      </c>
      <c r="C207" s="1">
        <v>40</v>
      </c>
      <c r="D207" s="1">
        <v>1</v>
      </c>
    </row>
    <row r="208" spans="1:4" x14ac:dyDescent="0.25">
      <c r="A208" s="1">
        <f t="shared" si="8"/>
        <v>0</v>
      </c>
      <c r="B208" s="1" t="s">
        <v>68</v>
      </c>
      <c r="C208" s="1">
        <v>28.75</v>
      </c>
      <c r="D208" s="1">
        <v>1</v>
      </c>
    </row>
    <row r="209" spans="1:4" x14ac:dyDescent="0.25">
      <c r="A209" s="1">
        <f t="shared" si="8"/>
        <v>0</v>
      </c>
      <c r="B209" s="1" t="s">
        <v>44</v>
      </c>
      <c r="C209" s="1">
        <v>115.2</v>
      </c>
      <c r="D209" s="1">
        <v>3</v>
      </c>
    </row>
    <row r="210" spans="1:4" x14ac:dyDescent="0.25">
      <c r="A210" s="1">
        <f t="shared" si="8"/>
        <v>0</v>
      </c>
      <c r="B210" s="1" t="s">
        <v>40</v>
      </c>
      <c r="C210" s="1">
        <v>54.8</v>
      </c>
      <c r="D210" s="1">
        <v>1</v>
      </c>
    </row>
    <row r="211" spans="1:4" x14ac:dyDescent="0.25">
      <c r="A211" s="1">
        <f t="shared" si="8"/>
        <v>0</v>
      </c>
      <c r="B211" s="1" t="s">
        <v>42</v>
      </c>
      <c r="C211" s="1">
        <v>40</v>
      </c>
      <c r="D211" s="1">
        <v>1</v>
      </c>
    </row>
    <row r="212" spans="1:4" x14ac:dyDescent="0.25">
      <c r="A212" s="1">
        <f t="shared" si="8"/>
        <v>212</v>
      </c>
      <c r="B212" s="1" t="s">
        <v>72</v>
      </c>
    </row>
    <row r="213" spans="1:4" x14ac:dyDescent="0.25">
      <c r="A213" s="1">
        <f t="shared" si="8"/>
        <v>0</v>
      </c>
      <c r="B213" s="1" t="s">
        <v>1</v>
      </c>
      <c r="C213" s="1">
        <v>72</v>
      </c>
    </row>
    <row r="214" spans="1:4" x14ac:dyDescent="0.25">
      <c r="A214" s="1">
        <f t="shared" si="8"/>
        <v>0</v>
      </c>
      <c r="B214" s="1" t="s">
        <v>2</v>
      </c>
      <c r="C214" s="1">
        <v>2847.14</v>
      </c>
    </row>
    <row r="215" spans="1:4" x14ac:dyDescent="0.25">
      <c r="A215" s="1">
        <f t="shared" si="8"/>
        <v>0</v>
      </c>
      <c r="B215" s="1" t="s">
        <v>3</v>
      </c>
      <c r="C215" s="1" t="s">
        <v>4</v>
      </c>
      <c r="D215" s="1" t="s">
        <v>5</v>
      </c>
    </row>
    <row r="216" spans="1:4" x14ac:dyDescent="0.25">
      <c r="A216" s="1">
        <f t="shared" si="8"/>
        <v>0</v>
      </c>
      <c r="B216" s="1" t="s">
        <v>51</v>
      </c>
      <c r="C216" s="1">
        <v>76.8</v>
      </c>
      <c r="D216" s="1">
        <v>2</v>
      </c>
    </row>
    <row r="217" spans="1:4" x14ac:dyDescent="0.25">
      <c r="A217" s="1">
        <f t="shared" si="8"/>
        <v>0</v>
      </c>
      <c r="B217" s="1" t="s">
        <v>61</v>
      </c>
      <c r="C217" s="1">
        <v>64</v>
      </c>
      <c r="D217" s="1">
        <v>1</v>
      </c>
    </row>
    <row r="218" spans="1:4" x14ac:dyDescent="0.25">
      <c r="A218" s="1">
        <f t="shared" si="8"/>
        <v>0</v>
      </c>
      <c r="B218" s="1" t="s">
        <v>21</v>
      </c>
      <c r="C218" s="1">
        <v>219.2</v>
      </c>
      <c r="D218" s="1">
        <v>4</v>
      </c>
    </row>
    <row r="219" spans="1:4" x14ac:dyDescent="0.25">
      <c r="A219" s="1">
        <f t="shared" si="8"/>
        <v>0</v>
      </c>
      <c r="B219" s="1" t="s">
        <v>8</v>
      </c>
      <c r="C219" s="1">
        <v>438.4</v>
      </c>
      <c r="D219" s="1">
        <v>8</v>
      </c>
    </row>
    <row r="220" spans="1:4" x14ac:dyDescent="0.25">
      <c r="A220" s="1">
        <f t="shared" si="8"/>
        <v>0</v>
      </c>
      <c r="B220" s="1" t="s">
        <v>30</v>
      </c>
      <c r="C220" s="1">
        <v>15.99</v>
      </c>
      <c r="D220" s="1">
        <v>1</v>
      </c>
    </row>
    <row r="221" spans="1:4" x14ac:dyDescent="0.25">
      <c r="A221" s="1">
        <f t="shared" si="8"/>
        <v>0</v>
      </c>
      <c r="B221" s="1" t="s">
        <v>20</v>
      </c>
      <c r="C221" s="1">
        <v>499.2</v>
      </c>
      <c r="D221" s="1">
        <v>14</v>
      </c>
    </row>
    <row r="222" spans="1:4" x14ac:dyDescent="0.25">
      <c r="A222" s="1">
        <f t="shared" si="8"/>
        <v>0</v>
      </c>
      <c r="B222" s="1" t="s">
        <v>12</v>
      </c>
      <c r="C222" s="1">
        <v>210</v>
      </c>
      <c r="D222" s="1">
        <v>6</v>
      </c>
    </row>
    <row r="223" spans="1:4" x14ac:dyDescent="0.25">
      <c r="A223" s="1">
        <f t="shared" si="8"/>
        <v>0</v>
      </c>
      <c r="B223" s="1" t="s">
        <v>18</v>
      </c>
      <c r="C223" s="1">
        <v>268.8</v>
      </c>
      <c r="D223" s="1">
        <v>7</v>
      </c>
    </row>
    <row r="224" spans="1:4" x14ac:dyDescent="0.25">
      <c r="A224" s="1">
        <f t="shared" si="8"/>
        <v>0</v>
      </c>
      <c r="B224" s="1" t="s">
        <v>17</v>
      </c>
      <c r="C224" s="1">
        <v>192</v>
      </c>
      <c r="D224" s="1">
        <v>5</v>
      </c>
    </row>
    <row r="225" spans="1:4" x14ac:dyDescent="0.25">
      <c r="A225" s="1">
        <f t="shared" si="8"/>
        <v>0</v>
      </c>
      <c r="B225" s="1" t="s">
        <v>40</v>
      </c>
      <c r="C225" s="1">
        <v>328.8</v>
      </c>
      <c r="D225" s="1">
        <v>6</v>
      </c>
    </row>
    <row r="226" spans="1:4" x14ac:dyDescent="0.25">
      <c r="A226" s="1">
        <f t="shared" si="8"/>
        <v>0</v>
      </c>
      <c r="B226" s="1" t="s">
        <v>49</v>
      </c>
      <c r="C226" s="1">
        <v>120</v>
      </c>
      <c r="D226" s="1">
        <v>3</v>
      </c>
    </row>
    <row r="227" spans="1:4" x14ac:dyDescent="0.25">
      <c r="A227" s="1">
        <f t="shared" si="8"/>
        <v>0</v>
      </c>
      <c r="B227" s="1" t="s">
        <v>14</v>
      </c>
      <c r="C227" s="1">
        <v>28.75</v>
      </c>
      <c r="D227" s="1">
        <v>1</v>
      </c>
    </row>
    <row r="228" spans="1:4" x14ac:dyDescent="0.25">
      <c r="A228" s="1">
        <f t="shared" si="8"/>
        <v>0</v>
      </c>
      <c r="B228" s="1" t="s">
        <v>16</v>
      </c>
      <c r="C228" s="1">
        <v>105.6</v>
      </c>
      <c r="D228" s="1">
        <v>4</v>
      </c>
    </row>
    <row r="229" spans="1:4" x14ac:dyDescent="0.25">
      <c r="A229" s="1">
        <f t="shared" si="8"/>
        <v>0</v>
      </c>
      <c r="B229" s="1" t="s">
        <v>7</v>
      </c>
      <c r="C229" s="1">
        <v>54.8</v>
      </c>
      <c r="D229" s="1">
        <v>5</v>
      </c>
    </row>
    <row r="230" spans="1:4" x14ac:dyDescent="0.25">
      <c r="A230" s="1">
        <f t="shared" si="8"/>
        <v>0</v>
      </c>
      <c r="B230" s="1" t="s">
        <v>33</v>
      </c>
      <c r="C230" s="1">
        <v>40</v>
      </c>
      <c r="D230" s="1">
        <v>1</v>
      </c>
    </row>
    <row r="231" spans="1:4" x14ac:dyDescent="0.25">
      <c r="A231" s="1">
        <f t="shared" si="8"/>
        <v>0</v>
      </c>
      <c r="B231" s="1" t="s">
        <v>54</v>
      </c>
      <c r="C231" s="1">
        <v>38.4</v>
      </c>
      <c r="D231" s="1">
        <v>1</v>
      </c>
    </row>
    <row r="232" spans="1:4" x14ac:dyDescent="0.25">
      <c r="A232" s="1">
        <f t="shared" si="8"/>
        <v>0</v>
      </c>
      <c r="B232" s="1" t="s">
        <v>57</v>
      </c>
      <c r="C232" s="1">
        <v>40</v>
      </c>
      <c r="D232" s="1">
        <v>1</v>
      </c>
    </row>
    <row r="233" spans="1:4" x14ac:dyDescent="0.25">
      <c r="A233" s="1">
        <f t="shared" si="8"/>
        <v>0</v>
      </c>
      <c r="B233" s="1" t="s">
        <v>44</v>
      </c>
      <c r="C233" s="1">
        <v>38.4</v>
      </c>
      <c r="D233" s="1">
        <v>1</v>
      </c>
    </row>
    <row r="234" spans="1:4" x14ac:dyDescent="0.25">
      <c r="A234" s="1">
        <f t="shared" si="8"/>
        <v>0</v>
      </c>
      <c r="B234" s="1" t="s">
        <v>15</v>
      </c>
      <c r="C234" s="1">
        <v>68</v>
      </c>
      <c r="D234" s="1">
        <v>1</v>
      </c>
    </row>
    <row r="235" spans="1:4" x14ac:dyDescent="0.25">
      <c r="A235" s="1">
        <f t="shared" si="8"/>
        <v>235</v>
      </c>
      <c r="B235" s="1" t="s">
        <v>73</v>
      </c>
    </row>
    <row r="236" spans="1:4" x14ac:dyDescent="0.25">
      <c r="A236" s="1">
        <f t="shared" si="8"/>
        <v>0</v>
      </c>
      <c r="B236" s="1" t="s">
        <v>1</v>
      </c>
      <c r="C236" s="1">
        <v>363</v>
      </c>
    </row>
    <row r="237" spans="1:4" x14ac:dyDescent="0.25">
      <c r="A237" s="1">
        <f t="shared" si="8"/>
        <v>0</v>
      </c>
      <c r="B237" s="1" t="s">
        <v>2</v>
      </c>
      <c r="C237" s="1">
        <v>13905.67</v>
      </c>
    </row>
    <row r="238" spans="1:4" x14ac:dyDescent="0.25">
      <c r="A238" s="1">
        <f t="shared" si="8"/>
        <v>0</v>
      </c>
      <c r="B238" s="1" t="s">
        <v>3</v>
      </c>
      <c r="C238" s="1" t="s">
        <v>4</v>
      </c>
      <c r="D238" s="1" t="s">
        <v>5</v>
      </c>
    </row>
    <row r="239" spans="1:4" x14ac:dyDescent="0.25">
      <c r="A239" s="1">
        <f t="shared" si="8"/>
        <v>0</v>
      </c>
      <c r="B239" s="1" t="s">
        <v>21</v>
      </c>
      <c r="C239" s="1">
        <v>1205.5999999999999</v>
      </c>
      <c r="D239" s="1">
        <v>22</v>
      </c>
    </row>
    <row r="240" spans="1:4" x14ac:dyDescent="0.25">
      <c r="A240" s="1">
        <f t="shared" si="8"/>
        <v>0</v>
      </c>
      <c r="B240" s="1" t="s">
        <v>17</v>
      </c>
      <c r="C240" s="1">
        <v>1344</v>
      </c>
      <c r="D240" s="1">
        <v>42</v>
      </c>
    </row>
    <row r="241" spans="1:4" x14ac:dyDescent="0.25">
      <c r="A241" s="1">
        <f t="shared" si="8"/>
        <v>0</v>
      </c>
      <c r="B241" s="1" t="s">
        <v>18</v>
      </c>
      <c r="C241" s="1">
        <v>1958.4</v>
      </c>
      <c r="D241" s="1">
        <v>52</v>
      </c>
    </row>
    <row r="242" spans="1:4" x14ac:dyDescent="0.25">
      <c r="A242" s="1">
        <f t="shared" si="8"/>
        <v>0</v>
      </c>
      <c r="B242" s="1" t="s">
        <v>20</v>
      </c>
      <c r="C242" s="1">
        <v>960</v>
      </c>
      <c r="D242" s="1">
        <v>28</v>
      </c>
    </row>
    <row r="243" spans="1:4" x14ac:dyDescent="0.25">
      <c r="A243" s="1">
        <f t="shared" si="8"/>
        <v>0</v>
      </c>
      <c r="B243" s="1" t="s">
        <v>14</v>
      </c>
      <c r="C243" s="1">
        <v>57.5</v>
      </c>
      <c r="D243" s="1">
        <v>2</v>
      </c>
    </row>
    <row r="244" spans="1:4" x14ac:dyDescent="0.25">
      <c r="A244" s="1">
        <f t="shared" si="8"/>
        <v>0</v>
      </c>
      <c r="B244" s="1" t="s">
        <v>12</v>
      </c>
      <c r="C244" s="1">
        <v>1295</v>
      </c>
      <c r="D244" s="1">
        <v>37</v>
      </c>
    </row>
    <row r="245" spans="1:4" x14ac:dyDescent="0.25">
      <c r="A245" s="1">
        <f t="shared" si="8"/>
        <v>0</v>
      </c>
      <c r="B245" s="1" t="s">
        <v>19</v>
      </c>
      <c r="C245" s="1">
        <v>86.25</v>
      </c>
      <c r="D245" s="1">
        <v>3</v>
      </c>
    </row>
    <row r="246" spans="1:4" x14ac:dyDescent="0.25">
      <c r="A246" s="1">
        <f t="shared" si="8"/>
        <v>0</v>
      </c>
      <c r="B246" s="1" t="s">
        <v>40</v>
      </c>
      <c r="C246" s="1">
        <v>767.2</v>
      </c>
      <c r="D246" s="1">
        <v>14</v>
      </c>
    </row>
    <row r="247" spans="1:4" x14ac:dyDescent="0.25">
      <c r="A247" s="1">
        <f t="shared" si="8"/>
        <v>0</v>
      </c>
      <c r="B247" s="1" t="s">
        <v>8</v>
      </c>
      <c r="C247" s="1">
        <v>1041.2</v>
      </c>
      <c r="D247" s="1">
        <v>27</v>
      </c>
    </row>
    <row r="248" spans="1:4" x14ac:dyDescent="0.25">
      <c r="A248" s="1">
        <f t="shared" si="8"/>
        <v>0</v>
      </c>
      <c r="B248" s="1" t="s">
        <v>10</v>
      </c>
      <c r="C248" s="1">
        <v>345.6</v>
      </c>
      <c r="D248" s="1">
        <v>9</v>
      </c>
    </row>
    <row r="249" spans="1:4" x14ac:dyDescent="0.25">
      <c r="A249" s="1">
        <f t="shared" si="8"/>
        <v>0</v>
      </c>
      <c r="B249" s="1" t="s">
        <v>30</v>
      </c>
      <c r="C249" s="1">
        <v>63.96</v>
      </c>
      <c r="D249" s="1">
        <v>5</v>
      </c>
    </row>
    <row r="250" spans="1:4" x14ac:dyDescent="0.25">
      <c r="A250" s="1">
        <f t="shared" si="8"/>
        <v>0</v>
      </c>
      <c r="B250" s="1" t="s">
        <v>26</v>
      </c>
      <c r="C250" s="1">
        <v>112.5</v>
      </c>
      <c r="D250" s="1">
        <v>3</v>
      </c>
    </row>
    <row r="251" spans="1:4" x14ac:dyDescent="0.25">
      <c r="A251" s="1">
        <f t="shared" si="8"/>
        <v>0</v>
      </c>
      <c r="B251" s="1" t="s">
        <v>62</v>
      </c>
      <c r="C251" s="1">
        <v>76.8</v>
      </c>
      <c r="D251" s="1">
        <v>2</v>
      </c>
    </row>
    <row r="252" spans="1:4" x14ac:dyDescent="0.25">
      <c r="A252" s="1">
        <f t="shared" si="8"/>
        <v>0</v>
      </c>
      <c r="B252" s="1" t="s">
        <v>28</v>
      </c>
      <c r="C252" s="1">
        <v>38.4</v>
      </c>
      <c r="D252" s="1">
        <v>1</v>
      </c>
    </row>
    <row r="253" spans="1:4" x14ac:dyDescent="0.25">
      <c r="A253" s="1">
        <f t="shared" si="8"/>
        <v>0</v>
      </c>
      <c r="B253" s="1" t="s">
        <v>22</v>
      </c>
      <c r="C253" s="1">
        <v>164.4</v>
      </c>
      <c r="D253" s="1">
        <v>3</v>
      </c>
    </row>
    <row r="254" spans="1:4" x14ac:dyDescent="0.25">
      <c r="A254" s="1">
        <f t="shared" si="8"/>
        <v>0</v>
      </c>
      <c r="B254" s="1" t="s">
        <v>6</v>
      </c>
      <c r="C254" s="1">
        <v>109.6</v>
      </c>
      <c r="D254" s="1">
        <v>2</v>
      </c>
    </row>
    <row r="255" spans="1:4" x14ac:dyDescent="0.25">
      <c r="A255" s="1">
        <f t="shared" si="8"/>
        <v>0</v>
      </c>
      <c r="B255" s="1" t="s">
        <v>7</v>
      </c>
      <c r="C255" s="1">
        <v>548</v>
      </c>
      <c r="D255" s="1">
        <v>11</v>
      </c>
    </row>
    <row r="256" spans="1:4" x14ac:dyDescent="0.25">
      <c r="A256" s="1">
        <f t="shared" si="8"/>
        <v>0</v>
      </c>
      <c r="B256" s="1" t="s">
        <v>51</v>
      </c>
      <c r="C256" s="1">
        <v>345.6</v>
      </c>
      <c r="D256" s="1">
        <v>13</v>
      </c>
    </row>
    <row r="257" spans="1:4" x14ac:dyDescent="0.25">
      <c r="A257" s="1">
        <f t="shared" si="8"/>
        <v>0</v>
      </c>
      <c r="B257" s="1" t="s">
        <v>35</v>
      </c>
      <c r="C257" s="1">
        <v>115.2</v>
      </c>
      <c r="D257" s="1">
        <v>3</v>
      </c>
    </row>
    <row r="258" spans="1:4" x14ac:dyDescent="0.25">
      <c r="A258" s="1">
        <f t="shared" ref="A258:A321" si="9">IF(COUNTIF($V$3:$Y$99, $B258)&lt;&gt;0, ROW($B258), 0)</f>
        <v>0</v>
      </c>
      <c r="B258" s="1" t="s">
        <v>49</v>
      </c>
      <c r="C258" s="1">
        <v>120</v>
      </c>
      <c r="D258" s="1">
        <v>3</v>
      </c>
    </row>
    <row r="259" spans="1:4" x14ac:dyDescent="0.25">
      <c r="A259" s="1">
        <f t="shared" si="9"/>
        <v>0</v>
      </c>
      <c r="B259" s="1" t="s">
        <v>31</v>
      </c>
      <c r="C259" s="1">
        <v>34.56</v>
      </c>
      <c r="D259" s="1">
        <v>1</v>
      </c>
    </row>
    <row r="260" spans="1:4" x14ac:dyDescent="0.25">
      <c r="A260" s="1">
        <f t="shared" si="9"/>
        <v>0</v>
      </c>
      <c r="B260" s="1" t="s">
        <v>74</v>
      </c>
      <c r="C260" s="1">
        <v>74</v>
      </c>
      <c r="D260" s="1">
        <v>1</v>
      </c>
    </row>
    <row r="261" spans="1:4" x14ac:dyDescent="0.25">
      <c r="A261" s="1">
        <f t="shared" si="9"/>
        <v>0</v>
      </c>
      <c r="B261" s="1" t="s">
        <v>33</v>
      </c>
      <c r="C261" s="1">
        <v>240</v>
      </c>
      <c r="D261" s="1">
        <v>6</v>
      </c>
    </row>
    <row r="262" spans="1:4" x14ac:dyDescent="0.25">
      <c r="A262" s="1">
        <f t="shared" si="9"/>
        <v>0</v>
      </c>
      <c r="B262" s="1" t="s">
        <v>32</v>
      </c>
      <c r="C262" s="1">
        <v>115.2</v>
      </c>
      <c r="D262" s="1">
        <v>3</v>
      </c>
    </row>
    <row r="263" spans="1:4" x14ac:dyDescent="0.25">
      <c r="A263" s="1">
        <f t="shared" si="9"/>
        <v>0</v>
      </c>
      <c r="B263" s="1" t="s">
        <v>27</v>
      </c>
      <c r="C263" s="1">
        <v>230.4</v>
      </c>
      <c r="D263" s="1">
        <v>7</v>
      </c>
    </row>
    <row r="264" spans="1:4" x14ac:dyDescent="0.25">
      <c r="A264" s="1">
        <f t="shared" si="9"/>
        <v>0</v>
      </c>
      <c r="B264" s="1" t="s">
        <v>64</v>
      </c>
      <c r="C264" s="1">
        <v>153.6</v>
      </c>
      <c r="D264" s="1">
        <v>4</v>
      </c>
    </row>
    <row r="265" spans="1:4" x14ac:dyDescent="0.25">
      <c r="A265" s="1">
        <f t="shared" si="9"/>
        <v>0</v>
      </c>
      <c r="B265" s="1" t="s">
        <v>52</v>
      </c>
      <c r="C265" s="1">
        <v>192</v>
      </c>
      <c r="D265" s="1">
        <v>3</v>
      </c>
    </row>
    <row r="266" spans="1:4" x14ac:dyDescent="0.25">
      <c r="A266" s="1">
        <f t="shared" si="9"/>
        <v>0</v>
      </c>
      <c r="B266" s="1" t="s">
        <v>9</v>
      </c>
      <c r="C266" s="1">
        <v>219.2</v>
      </c>
      <c r="D266" s="1">
        <v>4</v>
      </c>
    </row>
    <row r="267" spans="1:4" x14ac:dyDescent="0.25">
      <c r="A267" s="1">
        <f t="shared" si="9"/>
        <v>0</v>
      </c>
      <c r="B267" s="1" t="s">
        <v>54</v>
      </c>
      <c r="C267" s="1">
        <v>345.6</v>
      </c>
      <c r="D267" s="1">
        <v>9</v>
      </c>
    </row>
    <row r="268" spans="1:4" x14ac:dyDescent="0.25">
      <c r="A268" s="1">
        <f t="shared" si="9"/>
        <v>0</v>
      </c>
      <c r="B268" s="1" t="s">
        <v>25</v>
      </c>
      <c r="C268" s="1">
        <v>160</v>
      </c>
      <c r="D268" s="1">
        <v>4</v>
      </c>
    </row>
    <row r="269" spans="1:4" x14ac:dyDescent="0.25">
      <c r="A269" s="1">
        <f t="shared" si="9"/>
        <v>0</v>
      </c>
      <c r="B269" s="1" t="s">
        <v>53</v>
      </c>
      <c r="C269" s="1">
        <v>28.75</v>
      </c>
      <c r="D269" s="1">
        <v>1</v>
      </c>
    </row>
    <row r="270" spans="1:4" x14ac:dyDescent="0.25">
      <c r="A270" s="1">
        <f t="shared" si="9"/>
        <v>0</v>
      </c>
      <c r="B270" s="1" t="s">
        <v>13</v>
      </c>
      <c r="C270" s="1">
        <v>345.6</v>
      </c>
      <c r="D270" s="1">
        <v>10</v>
      </c>
    </row>
    <row r="271" spans="1:4" x14ac:dyDescent="0.25">
      <c r="A271" s="1">
        <f t="shared" si="9"/>
        <v>0</v>
      </c>
      <c r="B271" s="1" t="s">
        <v>16</v>
      </c>
      <c r="C271" s="1">
        <v>70.400000000000006</v>
      </c>
      <c r="D271" s="1">
        <v>2</v>
      </c>
    </row>
    <row r="272" spans="1:4" x14ac:dyDescent="0.25">
      <c r="A272" s="1">
        <f t="shared" si="9"/>
        <v>0</v>
      </c>
      <c r="B272" s="1" t="s">
        <v>56</v>
      </c>
      <c r="C272" s="1">
        <v>115.2</v>
      </c>
      <c r="D272" s="1">
        <v>3</v>
      </c>
    </row>
    <row r="273" spans="1:4" x14ac:dyDescent="0.25">
      <c r="A273" s="1">
        <f t="shared" si="9"/>
        <v>0</v>
      </c>
      <c r="B273" s="1" t="s">
        <v>61</v>
      </c>
      <c r="C273" s="1">
        <v>64</v>
      </c>
      <c r="D273" s="1">
        <v>1</v>
      </c>
    </row>
    <row r="274" spans="1:4" x14ac:dyDescent="0.25">
      <c r="A274" s="1">
        <f t="shared" si="9"/>
        <v>0</v>
      </c>
      <c r="B274" s="1" t="s">
        <v>41</v>
      </c>
      <c r="C274" s="1">
        <v>143.75</v>
      </c>
      <c r="D274" s="1">
        <v>5</v>
      </c>
    </row>
    <row r="275" spans="1:4" x14ac:dyDescent="0.25">
      <c r="A275" s="1">
        <f t="shared" si="9"/>
        <v>0</v>
      </c>
      <c r="B275" s="1" t="s">
        <v>42</v>
      </c>
      <c r="C275" s="1">
        <v>40</v>
      </c>
      <c r="D275" s="1">
        <v>1</v>
      </c>
    </row>
    <row r="276" spans="1:4" x14ac:dyDescent="0.25">
      <c r="A276" s="1">
        <f t="shared" si="9"/>
        <v>0</v>
      </c>
      <c r="B276" s="1" t="s">
        <v>55</v>
      </c>
      <c r="C276" s="1">
        <v>115.2</v>
      </c>
      <c r="D276" s="1">
        <v>4</v>
      </c>
    </row>
    <row r="277" spans="1:4" x14ac:dyDescent="0.25">
      <c r="A277" s="1">
        <f t="shared" si="9"/>
        <v>0</v>
      </c>
      <c r="B277" s="1" t="s">
        <v>57</v>
      </c>
      <c r="C277" s="1">
        <v>40</v>
      </c>
      <c r="D277" s="1">
        <v>1</v>
      </c>
    </row>
    <row r="278" spans="1:4" x14ac:dyDescent="0.25">
      <c r="A278" s="1">
        <f t="shared" si="9"/>
        <v>0</v>
      </c>
      <c r="B278" s="1" t="s">
        <v>67</v>
      </c>
      <c r="C278" s="1">
        <v>49.95</v>
      </c>
      <c r="D278" s="1">
        <v>1</v>
      </c>
    </row>
    <row r="279" spans="1:4" x14ac:dyDescent="0.25">
      <c r="A279" s="1">
        <f t="shared" si="9"/>
        <v>0</v>
      </c>
      <c r="B279" s="1" t="s">
        <v>43</v>
      </c>
      <c r="C279" s="1">
        <v>28.75</v>
      </c>
      <c r="D279" s="1">
        <v>1</v>
      </c>
    </row>
    <row r="280" spans="1:4" x14ac:dyDescent="0.25">
      <c r="A280" s="1">
        <f t="shared" si="9"/>
        <v>0</v>
      </c>
      <c r="B280" s="1" t="s">
        <v>71</v>
      </c>
      <c r="C280" s="1">
        <v>40</v>
      </c>
      <c r="D280" s="1">
        <v>1</v>
      </c>
    </row>
    <row r="281" spans="1:4" x14ac:dyDescent="0.25">
      <c r="A281" s="1">
        <f t="shared" si="9"/>
        <v>0</v>
      </c>
      <c r="B281" s="1" t="s">
        <v>44</v>
      </c>
      <c r="C281" s="1">
        <v>192</v>
      </c>
      <c r="D281" s="1">
        <v>5</v>
      </c>
    </row>
    <row r="282" spans="1:4" x14ac:dyDescent="0.25">
      <c r="A282" s="1">
        <f t="shared" si="9"/>
        <v>0</v>
      </c>
      <c r="B282" s="1" t="s">
        <v>37</v>
      </c>
      <c r="C282" s="1">
        <v>54.8</v>
      </c>
      <c r="D282" s="1">
        <v>1</v>
      </c>
    </row>
    <row r="283" spans="1:4" x14ac:dyDescent="0.25">
      <c r="A283" s="1">
        <f t="shared" si="9"/>
        <v>0</v>
      </c>
      <c r="B283" s="1" t="s">
        <v>45</v>
      </c>
      <c r="C283" s="1">
        <v>57.5</v>
      </c>
      <c r="D283" s="1">
        <v>2</v>
      </c>
    </row>
    <row r="284" spans="1:4" x14ac:dyDescent="0.25">
      <c r="A284" s="1">
        <f t="shared" si="9"/>
        <v>284</v>
      </c>
      <c r="B284" s="1" t="s">
        <v>75</v>
      </c>
    </row>
    <row r="285" spans="1:4" x14ac:dyDescent="0.25">
      <c r="A285" s="1">
        <f t="shared" si="9"/>
        <v>0</v>
      </c>
      <c r="B285" s="1" t="s">
        <v>1</v>
      </c>
      <c r="C285" s="1">
        <v>53</v>
      </c>
    </row>
    <row r="286" spans="1:4" x14ac:dyDescent="0.25">
      <c r="A286" s="1">
        <f t="shared" si="9"/>
        <v>0</v>
      </c>
      <c r="B286" s="1" t="s">
        <v>2</v>
      </c>
      <c r="C286" s="1">
        <v>2215.3000000000002</v>
      </c>
    </row>
    <row r="287" spans="1:4" x14ac:dyDescent="0.25">
      <c r="A287" s="1">
        <f t="shared" si="9"/>
        <v>0</v>
      </c>
      <c r="B287" s="1" t="s">
        <v>3</v>
      </c>
      <c r="C287" s="1" t="s">
        <v>4</v>
      </c>
      <c r="D287" s="1" t="s">
        <v>5</v>
      </c>
    </row>
    <row r="288" spans="1:4" x14ac:dyDescent="0.25">
      <c r="A288" s="1">
        <f t="shared" si="9"/>
        <v>0</v>
      </c>
      <c r="B288" s="1" t="s">
        <v>17</v>
      </c>
      <c r="C288" s="1">
        <v>115.2</v>
      </c>
      <c r="D288" s="1">
        <v>3</v>
      </c>
    </row>
    <row r="289" spans="1:4" x14ac:dyDescent="0.25">
      <c r="A289" s="1">
        <f t="shared" si="9"/>
        <v>0</v>
      </c>
      <c r="B289" s="1" t="s">
        <v>8</v>
      </c>
      <c r="C289" s="1">
        <v>164.4</v>
      </c>
      <c r="D289" s="1">
        <v>3</v>
      </c>
    </row>
    <row r="290" spans="1:4" x14ac:dyDescent="0.25">
      <c r="A290" s="1">
        <f t="shared" si="9"/>
        <v>0</v>
      </c>
      <c r="B290" s="1" t="s">
        <v>6</v>
      </c>
      <c r="C290" s="1">
        <v>54.8</v>
      </c>
      <c r="D290" s="1">
        <v>1</v>
      </c>
    </row>
    <row r="291" spans="1:4" x14ac:dyDescent="0.25">
      <c r="A291" s="1">
        <f t="shared" si="9"/>
        <v>0</v>
      </c>
      <c r="B291" s="1" t="s">
        <v>57</v>
      </c>
      <c r="C291" s="1">
        <v>40</v>
      </c>
      <c r="D291" s="1">
        <v>1</v>
      </c>
    </row>
    <row r="292" spans="1:4" x14ac:dyDescent="0.25">
      <c r="A292" s="1">
        <f t="shared" si="9"/>
        <v>0</v>
      </c>
      <c r="B292" s="1" t="s">
        <v>18</v>
      </c>
      <c r="C292" s="1">
        <v>307.2</v>
      </c>
      <c r="D292" s="1">
        <v>9</v>
      </c>
    </row>
    <row r="293" spans="1:4" x14ac:dyDescent="0.25">
      <c r="A293" s="1">
        <f t="shared" si="9"/>
        <v>0</v>
      </c>
      <c r="B293" s="1" t="s">
        <v>20</v>
      </c>
      <c r="C293" s="1">
        <v>307.2</v>
      </c>
      <c r="D293" s="1">
        <v>8</v>
      </c>
    </row>
    <row r="294" spans="1:4" x14ac:dyDescent="0.25">
      <c r="A294" s="1">
        <f t="shared" si="9"/>
        <v>0</v>
      </c>
      <c r="B294" s="1" t="s">
        <v>40</v>
      </c>
      <c r="C294" s="1">
        <v>274</v>
      </c>
      <c r="D294" s="1">
        <v>5</v>
      </c>
    </row>
    <row r="295" spans="1:4" x14ac:dyDescent="0.25">
      <c r="A295" s="1">
        <f t="shared" si="9"/>
        <v>0</v>
      </c>
      <c r="B295" s="1" t="s">
        <v>12</v>
      </c>
      <c r="C295" s="1">
        <v>105</v>
      </c>
      <c r="D295" s="1">
        <v>3</v>
      </c>
    </row>
    <row r="296" spans="1:4" x14ac:dyDescent="0.25">
      <c r="A296" s="1">
        <f t="shared" si="9"/>
        <v>0</v>
      </c>
      <c r="B296" s="1" t="s">
        <v>13</v>
      </c>
      <c r="C296" s="1">
        <v>76.8</v>
      </c>
      <c r="D296" s="1">
        <v>2</v>
      </c>
    </row>
    <row r="297" spans="1:4" x14ac:dyDescent="0.25">
      <c r="A297" s="1">
        <f t="shared" si="9"/>
        <v>0</v>
      </c>
      <c r="B297" s="1" t="s">
        <v>51</v>
      </c>
      <c r="C297" s="1">
        <v>115.2</v>
      </c>
      <c r="D297" s="1">
        <v>3</v>
      </c>
    </row>
    <row r="298" spans="1:4" x14ac:dyDescent="0.25">
      <c r="A298" s="1">
        <f t="shared" si="9"/>
        <v>0</v>
      </c>
      <c r="B298" s="1" t="s">
        <v>27</v>
      </c>
      <c r="C298" s="1">
        <v>115.2</v>
      </c>
      <c r="D298" s="1">
        <v>3</v>
      </c>
    </row>
    <row r="299" spans="1:4" x14ac:dyDescent="0.25">
      <c r="A299" s="1">
        <f t="shared" si="9"/>
        <v>0</v>
      </c>
      <c r="B299" s="1" t="s">
        <v>7</v>
      </c>
      <c r="C299" s="1">
        <v>54.8</v>
      </c>
      <c r="D299" s="1">
        <v>1</v>
      </c>
    </row>
    <row r="300" spans="1:4" x14ac:dyDescent="0.25">
      <c r="A300" s="1">
        <f t="shared" si="9"/>
        <v>0</v>
      </c>
      <c r="B300" s="1" t="s">
        <v>21</v>
      </c>
      <c r="C300" s="1">
        <v>109.6</v>
      </c>
      <c r="D300" s="1">
        <v>2</v>
      </c>
    </row>
    <row r="301" spans="1:4" x14ac:dyDescent="0.25">
      <c r="A301" s="1">
        <f t="shared" si="9"/>
        <v>0</v>
      </c>
      <c r="B301" s="1" t="s">
        <v>42</v>
      </c>
      <c r="C301" s="1">
        <v>40</v>
      </c>
      <c r="D301" s="1">
        <v>1</v>
      </c>
    </row>
    <row r="302" spans="1:4" x14ac:dyDescent="0.25">
      <c r="A302" s="1">
        <f t="shared" si="9"/>
        <v>0</v>
      </c>
      <c r="B302" s="1" t="s">
        <v>41</v>
      </c>
      <c r="C302" s="1">
        <v>28.75</v>
      </c>
      <c r="D302" s="1">
        <v>1</v>
      </c>
    </row>
    <row r="303" spans="1:4" x14ac:dyDescent="0.25">
      <c r="A303" s="1">
        <f t="shared" si="9"/>
        <v>0</v>
      </c>
      <c r="B303" s="1" t="s">
        <v>52</v>
      </c>
      <c r="C303" s="1">
        <v>128</v>
      </c>
      <c r="D303" s="1">
        <v>2</v>
      </c>
    </row>
    <row r="304" spans="1:4" x14ac:dyDescent="0.25">
      <c r="A304" s="1">
        <f t="shared" si="9"/>
        <v>0</v>
      </c>
      <c r="B304" s="1" t="s">
        <v>56</v>
      </c>
      <c r="C304" s="1">
        <v>38.4</v>
      </c>
      <c r="D304" s="1">
        <v>1</v>
      </c>
    </row>
    <row r="305" spans="1:4" x14ac:dyDescent="0.25">
      <c r="A305" s="1">
        <f t="shared" si="9"/>
        <v>0</v>
      </c>
      <c r="B305" s="1" t="s">
        <v>54</v>
      </c>
      <c r="C305" s="1">
        <v>38.4</v>
      </c>
      <c r="D305" s="1">
        <v>1</v>
      </c>
    </row>
    <row r="306" spans="1:4" x14ac:dyDescent="0.25">
      <c r="A306" s="1">
        <f t="shared" si="9"/>
        <v>0</v>
      </c>
      <c r="B306" s="1" t="s">
        <v>19</v>
      </c>
      <c r="C306" s="1">
        <v>28.75</v>
      </c>
      <c r="D306" s="1">
        <v>1</v>
      </c>
    </row>
    <row r="307" spans="1:4" x14ac:dyDescent="0.25">
      <c r="A307" s="1">
        <f t="shared" si="9"/>
        <v>0</v>
      </c>
      <c r="B307" s="1" t="s">
        <v>36</v>
      </c>
      <c r="C307" s="1">
        <v>38.4</v>
      </c>
      <c r="D307" s="1">
        <v>1</v>
      </c>
    </row>
    <row r="308" spans="1:4" x14ac:dyDescent="0.25">
      <c r="A308" s="1">
        <f t="shared" si="9"/>
        <v>0</v>
      </c>
      <c r="B308" s="1" t="s">
        <v>16</v>
      </c>
      <c r="C308" s="1">
        <v>35.200000000000003</v>
      </c>
      <c r="D308" s="1">
        <v>1</v>
      </c>
    </row>
    <row r="309" spans="1:4" x14ac:dyDescent="0.25">
      <c r="A309" s="1">
        <f t="shared" si="9"/>
        <v>309</v>
      </c>
      <c r="B309" s="1" t="s">
        <v>76</v>
      </c>
    </row>
    <row r="310" spans="1:4" x14ac:dyDescent="0.25">
      <c r="A310" s="1">
        <f t="shared" si="9"/>
        <v>0</v>
      </c>
      <c r="B310" s="1" t="s">
        <v>1</v>
      </c>
      <c r="C310" s="1">
        <v>105</v>
      </c>
    </row>
    <row r="311" spans="1:4" x14ac:dyDescent="0.25">
      <c r="A311" s="1">
        <f t="shared" si="9"/>
        <v>0</v>
      </c>
      <c r="B311" s="1" t="s">
        <v>2</v>
      </c>
      <c r="C311" s="1">
        <v>4022.79</v>
      </c>
    </row>
    <row r="312" spans="1:4" x14ac:dyDescent="0.25">
      <c r="A312" s="1">
        <f t="shared" si="9"/>
        <v>0</v>
      </c>
      <c r="B312" s="1" t="s">
        <v>3</v>
      </c>
      <c r="C312" s="1" t="s">
        <v>4</v>
      </c>
      <c r="D312" s="1" t="s">
        <v>5</v>
      </c>
    </row>
    <row r="313" spans="1:4" x14ac:dyDescent="0.25">
      <c r="A313" s="1">
        <f t="shared" si="9"/>
        <v>0</v>
      </c>
      <c r="B313" s="1" t="s">
        <v>30</v>
      </c>
      <c r="C313" s="1">
        <v>15.99</v>
      </c>
      <c r="D313" s="1">
        <v>2</v>
      </c>
    </row>
    <row r="314" spans="1:4" x14ac:dyDescent="0.25">
      <c r="A314" s="1">
        <f t="shared" si="9"/>
        <v>0</v>
      </c>
      <c r="B314" s="1" t="s">
        <v>18</v>
      </c>
      <c r="C314" s="1">
        <v>422.4</v>
      </c>
      <c r="D314" s="1">
        <v>12</v>
      </c>
    </row>
    <row r="315" spans="1:4" x14ac:dyDescent="0.25">
      <c r="A315" s="1">
        <f t="shared" si="9"/>
        <v>0</v>
      </c>
      <c r="B315" s="1" t="s">
        <v>17</v>
      </c>
      <c r="C315" s="1">
        <v>230.4</v>
      </c>
      <c r="D315" s="1">
        <v>6</v>
      </c>
    </row>
    <row r="316" spans="1:4" x14ac:dyDescent="0.25">
      <c r="A316" s="1">
        <f t="shared" si="9"/>
        <v>0</v>
      </c>
      <c r="B316" s="1" t="s">
        <v>19</v>
      </c>
      <c r="C316" s="1">
        <v>28.75</v>
      </c>
      <c r="D316" s="1">
        <v>1</v>
      </c>
    </row>
    <row r="317" spans="1:4" x14ac:dyDescent="0.25">
      <c r="A317" s="1">
        <f t="shared" si="9"/>
        <v>0</v>
      </c>
      <c r="B317" s="1" t="s">
        <v>20</v>
      </c>
      <c r="C317" s="1">
        <v>422.4</v>
      </c>
      <c r="D317" s="1">
        <v>11</v>
      </c>
    </row>
    <row r="318" spans="1:4" x14ac:dyDescent="0.25">
      <c r="A318" s="1">
        <f t="shared" si="9"/>
        <v>0</v>
      </c>
      <c r="B318" s="1" t="s">
        <v>42</v>
      </c>
      <c r="C318" s="1">
        <v>40</v>
      </c>
      <c r="D318" s="1">
        <v>1</v>
      </c>
    </row>
    <row r="319" spans="1:4" x14ac:dyDescent="0.25">
      <c r="A319" s="1">
        <f t="shared" si="9"/>
        <v>0</v>
      </c>
      <c r="B319" s="1" t="s">
        <v>21</v>
      </c>
      <c r="C319" s="1">
        <v>328.8</v>
      </c>
      <c r="D319" s="1">
        <v>6</v>
      </c>
    </row>
    <row r="320" spans="1:4" x14ac:dyDescent="0.25">
      <c r="A320" s="1">
        <f t="shared" si="9"/>
        <v>0</v>
      </c>
      <c r="B320" s="1" t="s">
        <v>7</v>
      </c>
      <c r="C320" s="1">
        <v>438.4</v>
      </c>
      <c r="D320" s="1">
        <v>17</v>
      </c>
    </row>
    <row r="321" spans="1:4" x14ac:dyDescent="0.25">
      <c r="A321" s="1">
        <f t="shared" si="9"/>
        <v>0</v>
      </c>
      <c r="B321" s="1" t="s">
        <v>33</v>
      </c>
      <c r="C321" s="1">
        <v>80</v>
      </c>
      <c r="D321" s="1">
        <v>2</v>
      </c>
    </row>
    <row r="322" spans="1:4" x14ac:dyDescent="0.25">
      <c r="A322" s="1">
        <f t="shared" ref="A322:A385" si="10">IF(COUNTIF($V$3:$Y$99, $B322)&lt;&gt;0, ROW($B322), 0)</f>
        <v>0</v>
      </c>
      <c r="B322" s="1" t="s">
        <v>8</v>
      </c>
      <c r="C322" s="1">
        <v>548</v>
      </c>
      <c r="D322" s="1">
        <v>11</v>
      </c>
    </row>
    <row r="323" spans="1:4" x14ac:dyDescent="0.25">
      <c r="A323" s="1">
        <f t="shared" si="10"/>
        <v>0</v>
      </c>
      <c r="B323" s="1" t="s">
        <v>12</v>
      </c>
      <c r="C323" s="1">
        <v>280</v>
      </c>
      <c r="D323" s="1">
        <v>8</v>
      </c>
    </row>
    <row r="324" spans="1:4" x14ac:dyDescent="0.25">
      <c r="A324" s="1">
        <f t="shared" si="10"/>
        <v>0</v>
      </c>
      <c r="B324" s="1" t="s">
        <v>40</v>
      </c>
      <c r="C324" s="1">
        <v>54.8</v>
      </c>
      <c r="D324" s="1">
        <v>1</v>
      </c>
    </row>
    <row r="325" spans="1:4" x14ac:dyDescent="0.25">
      <c r="A325" s="1">
        <f t="shared" si="10"/>
        <v>0</v>
      </c>
      <c r="B325" s="1" t="s">
        <v>49</v>
      </c>
      <c r="C325" s="1">
        <v>200</v>
      </c>
      <c r="D325" s="1">
        <v>5</v>
      </c>
    </row>
    <row r="326" spans="1:4" x14ac:dyDescent="0.25">
      <c r="A326" s="1">
        <f t="shared" si="10"/>
        <v>0</v>
      </c>
      <c r="B326" s="1" t="s">
        <v>14</v>
      </c>
      <c r="C326" s="1">
        <v>57.5</v>
      </c>
      <c r="D326" s="1">
        <v>2</v>
      </c>
    </row>
    <row r="327" spans="1:4" x14ac:dyDescent="0.25">
      <c r="A327" s="1">
        <f t="shared" si="10"/>
        <v>0</v>
      </c>
      <c r="B327" s="1" t="s">
        <v>16</v>
      </c>
      <c r="C327" s="1">
        <v>105.6</v>
      </c>
      <c r="D327" s="1">
        <v>3</v>
      </c>
    </row>
    <row r="328" spans="1:4" x14ac:dyDescent="0.25">
      <c r="A328" s="1">
        <f t="shared" si="10"/>
        <v>0</v>
      </c>
      <c r="B328" s="1" t="s">
        <v>22</v>
      </c>
      <c r="C328" s="1">
        <v>109.6</v>
      </c>
      <c r="D328" s="1">
        <v>2</v>
      </c>
    </row>
    <row r="329" spans="1:4" x14ac:dyDescent="0.25">
      <c r="A329" s="1">
        <f t="shared" si="10"/>
        <v>0</v>
      </c>
      <c r="B329" s="1" t="s">
        <v>54</v>
      </c>
      <c r="C329" s="1">
        <v>115.2</v>
      </c>
      <c r="D329" s="1">
        <v>3</v>
      </c>
    </row>
    <row r="330" spans="1:4" x14ac:dyDescent="0.25">
      <c r="A330" s="1">
        <f t="shared" si="10"/>
        <v>0</v>
      </c>
      <c r="B330" s="1" t="s">
        <v>55</v>
      </c>
      <c r="C330" s="1">
        <v>38.4</v>
      </c>
      <c r="D330" s="1">
        <v>1</v>
      </c>
    </row>
    <row r="331" spans="1:4" x14ac:dyDescent="0.25">
      <c r="A331" s="1">
        <f t="shared" si="10"/>
        <v>0</v>
      </c>
      <c r="B331" s="1" t="s">
        <v>65</v>
      </c>
      <c r="C331" s="1">
        <v>49.95</v>
      </c>
      <c r="D331" s="1">
        <v>1</v>
      </c>
    </row>
    <row r="332" spans="1:4" x14ac:dyDescent="0.25">
      <c r="A332" s="1">
        <f t="shared" si="10"/>
        <v>0</v>
      </c>
      <c r="B332" s="1" t="s">
        <v>15</v>
      </c>
      <c r="C332" s="1">
        <v>68</v>
      </c>
      <c r="D332" s="1">
        <v>1</v>
      </c>
    </row>
    <row r="333" spans="1:4" x14ac:dyDescent="0.25">
      <c r="A333" s="1">
        <f t="shared" si="10"/>
        <v>0</v>
      </c>
      <c r="B333" s="1" t="s">
        <v>67</v>
      </c>
      <c r="C333" s="1">
        <v>149.85</v>
      </c>
      <c r="D333" s="1">
        <v>3</v>
      </c>
    </row>
    <row r="334" spans="1:4" x14ac:dyDescent="0.25">
      <c r="A334" s="1">
        <f t="shared" si="10"/>
        <v>0</v>
      </c>
      <c r="B334" s="1" t="s">
        <v>27</v>
      </c>
      <c r="C334" s="1">
        <v>38.4</v>
      </c>
      <c r="D334" s="1">
        <v>1</v>
      </c>
    </row>
    <row r="335" spans="1:4" x14ac:dyDescent="0.25">
      <c r="A335" s="1">
        <f t="shared" si="10"/>
        <v>0</v>
      </c>
      <c r="B335" s="1" t="s">
        <v>56</v>
      </c>
      <c r="C335" s="1">
        <v>76.8</v>
      </c>
      <c r="D335" s="1">
        <v>2</v>
      </c>
    </row>
    <row r="336" spans="1:4" x14ac:dyDescent="0.25">
      <c r="A336" s="1">
        <f t="shared" si="10"/>
        <v>0</v>
      </c>
      <c r="B336" s="1" t="s">
        <v>41</v>
      </c>
      <c r="C336" s="1">
        <v>28.75</v>
      </c>
      <c r="D336" s="1">
        <v>1</v>
      </c>
    </row>
    <row r="337" spans="1:4" x14ac:dyDescent="0.25">
      <c r="A337" s="1">
        <f t="shared" si="10"/>
        <v>0</v>
      </c>
      <c r="B337" s="1" t="s">
        <v>59</v>
      </c>
      <c r="C337" s="1">
        <v>40</v>
      </c>
      <c r="D337" s="1">
        <v>1</v>
      </c>
    </row>
    <row r="338" spans="1:4" x14ac:dyDescent="0.25">
      <c r="A338" s="1">
        <f t="shared" si="10"/>
        <v>0</v>
      </c>
      <c r="B338" s="1" t="s">
        <v>37</v>
      </c>
      <c r="C338" s="1">
        <v>54.8</v>
      </c>
      <c r="D338" s="1">
        <v>1</v>
      </c>
    </row>
    <row r="339" spans="1:4" x14ac:dyDescent="0.25">
      <c r="A339" s="1">
        <f t="shared" si="10"/>
        <v>339</v>
      </c>
      <c r="B339" s="1" t="s">
        <v>77</v>
      </c>
    </row>
    <row r="340" spans="1:4" x14ac:dyDescent="0.25">
      <c r="A340" s="1">
        <f t="shared" si="10"/>
        <v>0</v>
      </c>
      <c r="B340" s="1" t="s">
        <v>1</v>
      </c>
      <c r="C340" s="1">
        <v>1021</v>
      </c>
    </row>
    <row r="341" spans="1:4" x14ac:dyDescent="0.25">
      <c r="A341" s="1">
        <f t="shared" si="10"/>
        <v>0</v>
      </c>
      <c r="B341" s="1" t="s">
        <v>2</v>
      </c>
      <c r="C341" s="1">
        <v>39992.199999999997</v>
      </c>
    </row>
    <row r="342" spans="1:4" x14ac:dyDescent="0.25">
      <c r="A342" s="1">
        <f t="shared" si="10"/>
        <v>0</v>
      </c>
      <c r="B342" s="1" t="s">
        <v>3</v>
      </c>
      <c r="C342" s="1" t="s">
        <v>4</v>
      </c>
      <c r="D342" s="1" t="s">
        <v>5</v>
      </c>
    </row>
    <row r="343" spans="1:4" x14ac:dyDescent="0.25">
      <c r="A343" s="1">
        <f t="shared" si="10"/>
        <v>0</v>
      </c>
      <c r="B343" s="1" t="s">
        <v>17</v>
      </c>
      <c r="C343" s="1">
        <v>3955.2</v>
      </c>
      <c r="D343" s="1">
        <v>119</v>
      </c>
    </row>
    <row r="344" spans="1:4" x14ac:dyDescent="0.25">
      <c r="A344" s="1">
        <f t="shared" si="10"/>
        <v>0</v>
      </c>
      <c r="B344" s="1" t="s">
        <v>20</v>
      </c>
      <c r="C344" s="1">
        <v>2726.4</v>
      </c>
      <c r="D344" s="1">
        <v>73</v>
      </c>
    </row>
    <row r="345" spans="1:4" x14ac:dyDescent="0.25">
      <c r="A345" s="1">
        <f t="shared" si="10"/>
        <v>0</v>
      </c>
      <c r="B345" s="1" t="s">
        <v>51</v>
      </c>
      <c r="C345" s="1">
        <v>614.4</v>
      </c>
      <c r="D345" s="1">
        <v>16</v>
      </c>
    </row>
    <row r="346" spans="1:4" x14ac:dyDescent="0.25">
      <c r="A346" s="1">
        <f t="shared" si="10"/>
        <v>0</v>
      </c>
      <c r="B346" s="1" t="s">
        <v>33</v>
      </c>
      <c r="C346" s="1">
        <v>880</v>
      </c>
      <c r="D346" s="1">
        <v>22</v>
      </c>
    </row>
    <row r="347" spans="1:4" x14ac:dyDescent="0.25">
      <c r="A347" s="1">
        <f t="shared" si="10"/>
        <v>0</v>
      </c>
      <c r="B347" s="1" t="s">
        <v>8</v>
      </c>
      <c r="C347" s="1">
        <v>1753.6</v>
      </c>
      <c r="D347" s="1">
        <v>36</v>
      </c>
    </row>
    <row r="348" spans="1:4" x14ac:dyDescent="0.25">
      <c r="A348" s="1">
        <f t="shared" si="10"/>
        <v>0</v>
      </c>
      <c r="B348" s="1" t="s">
        <v>21</v>
      </c>
      <c r="C348" s="1">
        <v>3288</v>
      </c>
      <c r="D348" s="1">
        <v>61</v>
      </c>
    </row>
    <row r="349" spans="1:4" x14ac:dyDescent="0.25">
      <c r="A349" s="1">
        <f t="shared" si="10"/>
        <v>0</v>
      </c>
      <c r="B349" s="1" t="s">
        <v>12</v>
      </c>
      <c r="C349" s="1">
        <v>2240</v>
      </c>
      <c r="D349" s="1">
        <v>67</v>
      </c>
    </row>
    <row r="350" spans="1:4" x14ac:dyDescent="0.25">
      <c r="A350" s="1">
        <f t="shared" si="10"/>
        <v>0</v>
      </c>
      <c r="B350" s="1" t="s">
        <v>40</v>
      </c>
      <c r="C350" s="1">
        <v>2246.8000000000002</v>
      </c>
      <c r="D350" s="1">
        <v>43</v>
      </c>
    </row>
    <row r="351" spans="1:4" x14ac:dyDescent="0.25">
      <c r="A351" s="1">
        <f t="shared" si="10"/>
        <v>0</v>
      </c>
      <c r="B351" s="1" t="s">
        <v>13</v>
      </c>
      <c r="C351" s="1">
        <v>998.4</v>
      </c>
      <c r="D351" s="1">
        <v>33</v>
      </c>
    </row>
    <row r="352" spans="1:4" x14ac:dyDescent="0.25">
      <c r="A352" s="1">
        <f t="shared" si="10"/>
        <v>0</v>
      </c>
      <c r="B352" s="1" t="s">
        <v>26</v>
      </c>
      <c r="C352" s="1">
        <v>487.5</v>
      </c>
      <c r="D352" s="1">
        <v>13</v>
      </c>
    </row>
    <row r="353" spans="1:4" x14ac:dyDescent="0.25">
      <c r="A353" s="1">
        <f t="shared" si="10"/>
        <v>0</v>
      </c>
      <c r="B353" s="1" t="s">
        <v>22</v>
      </c>
      <c r="C353" s="1">
        <v>657.6</v>
      </c>
      <c r="D353" s="1">
        <v>15</v>
      </c>
    </row>
    <row r="354" spans="1:4" x14ac:dyDescent="0.25">
      <c r="A354" s="1">
        <f t="shared" si="10"/>
        <v>0</v>
      </c>
      <c r="B354" s="1" t="s">
        <v>7</v>
      </c>
      <c r="C354" s="1">
        <v>2137.1999999999998</v>
      </c>
      <c r="D354" s="1">
        <v>45</v>
      </c>
    </row>
    <row r="355" spans="1:4" x14ac:dyDescent="0.25">
      <c r="A355" s="1">
        <f t="shared" si="10"/>
        <v>0</v>
      </c>
      <c r="B355" s="1" t="s">
        <v>62</v>
      </c>
      <c r="C355" s="1">
        <v>576</v>
      </c>
      <c r="D355" s="1">
        <v>16</v>
      </c>
    </row>
    <row r="356" spans="1:4" x14ac:dyDescent="0.25">
      <c r="A356" s="1">
        <f t="shared" si="10"/>
        <v>0</v>
      </c>
      <c r="B356" s="1" t="s">
        <v>6</v>
      </c>
      <c r="C356" s="1">
        <v>1424.8</v>
      </c>
      <c r="D356" s="1">
        <v>26</v>
      </c>
    </row>
    <row r="357" spans="1:4" x14ac:dyDescent="0.25">
      <c r="A357" s="1">
        <f t="shared" si="10"/>
        <v>0</v>
      </c>
      <c r="B357" s="1" t="s">
        <v>61</v>
      </c>
      <c r="C357" s="1">
        <v>384</v>
      </c>
      <c r="D357" s="1">
        <v>6</v>
      </c>
    </row>
    <row r="358" spans="1:4" x14ac:dyDescent="0.25">
      <c r="A358" s="1">
        <f t="shared" si="10"/>
        <v>0</v>
      </c>
      <c r="B358" s="1" t="s">
        <v>25</v>
      </c>
      <c r="C358" s="1">
        <v>280</v>
      </c>
      <c r="D358" s="1">
        <v>7</v>
      </c>
    </row>
    <row r="359" spans="1:4" x14ac:dyDescent="0.25">
      <c r="A359" s="1">
        <f t="shared" si="10"/>
        <v>0</v>
      </c>
      <c r="B359" s="1" t="s">
        <v>9</v>
      </c>
      <c r="C359" s="1">
        <v>328.8</v>
      </c>
      <c r="D359" s="1">
        <v>15</v>
      </c>
    </row>
    <row r="360" spans="1:4" x14ac:dyDescent="0.25">
      <c r="A360" s="1">
        <f t="shared" si="10"/>
        <v>0</v>
      </c>
      <c r="B360" s="1" t="s">
        <v>59</v>
      </c>
      <c r="C360" s="1">
        <v>200</v>
      </c>
      <c r="D360" s="1">
        <v>5</v>
      </c>
    </row>
    <row r="361" spans="1:4" x14ac:dyDescent="0.25">
      <c r="A361" s="1">
        <f t="shared" si="10"/>
        <v>0</v>
      </c>
      <c r="B361" s="1" t="s">
        <v>14</v>
      </c>
      <c r="C361" s="1">
        <v>172.5</v>
      </c>
      <c r="D361" s="1">
        <v>6</v>
      </c>
    </row>
    <row r="362" spans="1:4" x14ac:dyDescent="0.25">
      <c r="A362" s="1">
        <f t="shared" si="10"/>
        <v>0</v>
      </c>
      <c r="B362" s="1" t="s">
        <v>18</v>
      </c>
      <c r="C362" s="1">
        <v>5068.8</v>
      </c>
      <c r="D362" s="1">
        <v>133</v>
      </c>
    </row>
    <row r="363" spans="1:4" x14ac:dyDescent="0.25">
      <c r="A363" s="1">
        <f t="shared" si="10"/>
        <v>0</v>
      </c>
      <c r="B363" s="1" t="s">
        <v>11</v>
      </c>
      <c r="C363" s="1">
        <v>80</v>
      </c>
      <c r="D363" s="1">
        <v>2</v>
      </c>
    </row>
    <row r="364" spans="1:4" x14ac:dyDescent="0.25">
      <c r="A364" s="1">
        <f t="shared" si="10"/>
        <v>0</v>
      </c>
      <c r="B364" s="1" t="s">
        <v>52</v>
      </c>
      <c r="C364" s="1">
        <v>640</v>
      </c>
      <c r="D364" s="1">
        <v>15</v>
      </c>
    </row>
    <row r="365" spans="1:4" x14ac:dyDescent="0.25">
      <c r="A365" s="1">
        <f t="shared" si="10"/>
        <v>0</v>
      </c>
      <c r="B365" s="1" t="s">
        <v>35</v>
      </c>
      <c r="C365" s="1">
        <v>38.4</v>
      </c>
      <c r="D365" s="1">
        <v>1</v>
      </c>
    </row>
    <row r="366" spans="1:4" x14ac:dyDescent="0.25">
      <c r="A366" s="1">
        <f t="shared" si="10"/>
        <v>0</v>
      </c>
      <c r="B366" s="1" t="s">
        <v>10</v>
      </c>
      <c r="C366" s="1">
        <v>806.4</v>
      </c>
      <c r="D366" s="1">
        <v>21</v>
      </c>
    </row>
    <row r="367" spans="1:4" x14ac:dyDescent="0.25">
      <c r="A367" s="1">
        <f t="shared" si="10"/>
        <v>0</v>
      </c>
      <c r="B367" s="1" t="s">
        <v>31</v>
      </c>
      <c r="C367" s="1">
        <v>276.48</v>
      </c>
      <c r="D367" s="1">
        <v>8</v>
      </c>
    </row>
    <row r="368" spans="1:4" x14ac:dyDescent="0.25">
      <c r="A368" s="1">
        <f t="shared" si="10"/>
        <v>0</v>
      </c>
      <c r="B368" s="1" t="s">
        <v>19</v>
      </c>
      <c r="C368" s="1">
        <v>230</v>
      </c>
      <c r="D368" s="1">
        <v>9</v>
      </c>
    </row>
    <row r="369" spans="1:4" x14ac:dyDescent="0.25">
      <c r="A369" s="1">
        <f t="shared" si="10"/>
        <v>0</v>
      </c>
      <c r="B369" s="1" t="s">
        <v>50</v>
      </c>
      <c r="C369" s="1">
        <v>807.5</v>
      </c>
      <c r="D369" s="1">
        <v>20</v>
      </c>
    </row>
    <row r="370" spans="1:4" x14ac:dyDescent="0.25">
      <c r="A370" s="1">
        <f t="shared" si="10"/>
        <v>0</v>
      </c>
      <c r="B370" s="1" t="s">
        <v>29</v>
      </c>
      <c r="C370" s="1">
        <v>38.4</v>
      </c>
      <c r="D370" s="1">
        <v>2</v>
      </c>
    </row>
    <row r="371" spans="1:4" x14ac:dyDescent="0.25">
      <c r="A371" s="1">
        <f t="shared" si="10"/>
        <v>0</v>
      </c>
      <c r="B371" s="1" t="s">
        <v>32</v>
      </c>
      <c r="C371" s="1">
        <v>307.2</v>
      </c>
      <c r="D371" s="1">
        <v>9</v>
      </c>
    </row>
    <row r="372" spans="1:4" x14ac:dyDescent="0.25">
      <c r="A372" s="1">
        <f t="shared" si="10"/>
        <v>0</v>
      </c>
      <c r="B372" s="1" t="s">
        <v>27</v>
      </c>
      <c r="C372" s="1">
        <v>537.6</v>
      </c>
      <c r="D372" s="1">
        <v>15</v>
      </c>
    </row>
    <row r="373" spans="1:4" x14ac:dyDescent="0.25">
      <c r="A373" s="1">
        <f t="shared" si="10"/>
        <v>0</v>
      </c>
      <c r="B373" s="1" t="s">
        <v>49</v>
      </c>
      <c r="C373" s="1">
        <v>160</v>
      </c>
      <c r="D373" s="1">
        <v>4</v>
      </c>
    </row>
    <row r="374" spans="1:4" x14ac:dyDescent="0.25">
      <c r="A374" s="1">
        <f t="shared" si="10"/>
        <v>0</v>
      </c>
      <c r="B374" s="1" t="s">
        <v>37</v>
      </c>
      <c r="C374" s="1">
        <v>602.79999999999995</v>
      </c>
      <c r="D374" s="1">
        <v>11</v>
      </c>
    </row>
    <row r="375" spans="1:4" x14ac:dyDescent="0.25">
      <c r="A375" s="1">
        <f t="shared" si="10"/>
        <v>0</v>
      </c>
      <c r="B375" s="1" t="s">
        <v>64</v>
      </c>
      <c r="C375" s="1">
        <v>230.4</v>
      </c>
      <c r="D375" s="1">
        <v>7</v>
      </c>
    </row>
    <row r="376" spans="1:4" x14ac:dyDescent="0.25">
      <c r="A376" s="1">
        <f t="shared" si="10"/>
        <v>0</v>
      </c>
      <c r="B376" s="1" t="s">
        <v>78</v>
      </c>
      <c r="C376" s="1">
        <v>38.4</v>
      </c>
      <c r="D376" s="1">
        <v>1</v>
      </c>
    </row>
    <row r="377" spans="1:4" x14ac:dyDescent="0.25">
      <c r="A377" s="1">
        <f t="shared" si="10"/>
        <v>0</v>
      </c>
      <c r="B377" s="1" t="s">
        <v>47</v>
      </c>
      <c r="C377" s="1">
        <v>64</v>
      </c>
      <c r="D377" s="1">
        <v>1</v>
      </c>
    </row>
    <row r="378" spans="1:4" x14ac:dyDescent="0.25">
      <c r="A378" s="1">
        <f t="shared" si="10"/>
        <v>0</v>
      </c>
      <c r="B378" s="1" t="s">
        <v>30</v>
      </c>
      <c r="C378" s="1">
        <v>191.88</v>
      </c>
      <c r="D378" s="1">
        <v>12</v>
      </c>
    </row>
    <row r="379" spans="1:4" x14ac:dyDescent="0.25">
      <c r="A379" s="1">
        <f t="shared" si="10"/>
        <v>0</v>
      </c>
      <c r="B379" s="1" t="s">
        <v>36</v>
      </c>
      <c r="C379" s="1">
        <v>372.48</v>
      </c>
      <c r="D379" s="1">
        <v>10</v>
      </c>
    </row>
    <row r="380" spans="1:4" x14ac:dyDescent="0.25">
      <c r="A380" s="1">
        <f t="shared" si="10"/>
        <v>0</v>
      </c>
      <c r="B380" s="1" t="s">
        <v>54</v>
      </c>
      <c r="C380" s="1">
        <v>921.6</v>
      </c>
      <c r="D380" s="1">
        <v>24</v>
      </c>
    </row>
    <row r="381" spans="1:4" x14ac:dyDescent="0.25">
      <c r="A381" s="1">
        <f t="shared" si="10"/>
        <v>0</v>
      </c>
      <c r="B381" s="1" t="s">
        <v>79</v>
      </c>
      <c r="C381" s="1">
        <v>12.5</v>
      </c>
      <c r="D381" s="1">
        <v>1</v>
      </c>
    </row>
    <row r="382" spans="1:4" x14ac:dyDescent="0.25">
      <c r="A382" s="1">
        <f t="shared" si="10"/>
        <v>0</v>
      </c>
      <c r="B382" s="1" t="s">
        <v>80</v>
      </c>
      <c r="C382" s="1">
        <v>19.89</v>
      </c>
      <c r="D382" s="1">
        <v>1</v>
      </c>
    </row>
    <row r="383" spans="1:4" x14ac:dyDescent="0.25">
      <c r="A383" s="1">
        <f t="shared" si="10"/>
        <v>0</v>
      </c>
      <c r="B383" s="1" t="s">
        <v>81</v>
      </c>
      <c r="C383" s="1">
        <v>16.97</v>
      </c>
      <c r="D383" s="1">
        <v>1</v>
      </c>
    </row>
    <row r="384" spans="1:4" x14ac:dyDescent="0.25">
      <c r="A384" s="1">
        <f t="shared" si="10"/>
        <v>0</v>
      </c>
      <c r="B384" s="1" t="s">
        <v>41</v>
      </c>
      <c r="C384" s="1">
        <v>517.5</v>
      </c>
      <c r="D384" s="1">
        <v>18</v>
      </c>
    </row>
    <row r="385" spans="1:4" x14ac:dyDescent="0.25">
      <c r="A385" s="1">
        <f t="shared" si="10"/>
        <v>0</v>
      </c>
      <c r="B385" s="1" t="s">
        <v>42</v>
      </c>
      <c r="C385" s="1">
        <v>80</v>
      </c>
      <c r="D385" s="1">
        <v>2</v>
      </c>
    </row>
    <row r="386" spans="1:4" x14ac:dyDescent="0.25">
      <c r="A386" s="1">
        <f t="shared" ref="A386:A449" si="11">IF(COUNTIF($V$3:$Y$99, $B386)&lt;&gt;0, ROW($B386), 0)</f>
        <v>0</v>
      </c>
      <c r="B386" s="1" t="s">
        <v>16</v>
      </c>
      <c r="C386" s="1">
        <v>176</v>
      </c>
      <c r="D386" s="1">
        <v>5</v>
      </c>
    </row>
    <row r="387" spans="1:4" x14ac:dyDescent="0.25">
      <c r="A387" s="1">
        <f t="shared" si="11"/>
        <v>0</v>
      </c>
      <c r="B387" s="1" t="s">
        <v>56</v>
      </c>
      <c r="C387" s="1">
        <v>422.4</v>
      </c>
      <c r="D387" s="1">
        <v>11</v>
      </c>
    </row>
    <row r="388" spans="1:4" x14ac:dyDescent="0.25">
      <c r="A388" s="1">
        <f t="shared" si="11"/>
        <v>0</v>
      </c>
      <c r="B388" s="1" t="s">
        <v>55</v>
      </c>
      <c r="C388" s="1">
        <v>537.6</v>
      </c>
      <c r="D388" s="1">
        <v>16</v>
      </c>
    </row>
    <row r="389" spans="1:4" x14ac:dyDescent="0.25">
      <c r="A389" s="1">
        <f t="shared" si="11"/>
        <v>0</v>
      </c>
      <c r="B389" s="1" t="s">
        <v>57</v>
      </c>
      <c r="C389" s="1">
        <v>40</v>
      </c>
      <c r="D389" s="1">
        <v>1</v>
      </c>
    </row>
    <row r="390" spans="1:4" x14ac:dyDescent="0.25">
      <c r="A390" s="1">
        <f t="shared" si="11"/>
        <v>0</v>
      </c>
      <c r="B390" s="1" t="s">
        <v>74</v>
      </c>
      <c r="C390" s="1">
        <v>148</v>
      </c>
      <c r="D390" s="1">
        <v>2</v>
      </c>
    </row>
    <row r="391" spans="1:4" x14ac:dyDescent="0.25">
      <c r="A391" s="1">
        <f t="shared" si="11"/>
        <v>0</v>
      </c>
      <c r="B391" s="1" t="s">
        <v>38</v>
      </c>
      <c r="C391" s="1">
        <v>64</v>
      </c>
      <c r="D391" s="1">
        <v>1</v>
      </c>
    </row>
    <row r="392" spans="1:4" x14ac:dyDescent="0.25">
      <c r="A392" s="1">
        <f t="shared" si="11"/>
        <v>0</v>
      </c>
      <c r="B392" s="1" t="s">
        <v>71</v>
      </c>
      <c r="C392" s="1">
        <v>80</v>
      </c>
      <c r="D392" s="1">
        <v>2</v>
      </c>
    </row>
    <row r="393" spans="1:4" x14ac:dyDescent="0.25">
      <c r="A393" s="1">
        <f t="shared" si="11"/>
        <v>0</v>
      </c>
      <c r="B393" s="1" t="s">
        <v>15</v>
      </c>
      <c r="C393" s="1">
        <v>204</v>
      </c>
      <c r="D393" s="1">
        <v>3</v>
      </c>
    </row>
    <row r="394" spans="1:4" x14ac:dyDescent="0.25">
      <c r="A394" s="1">
        <f t="shared" si="11"/>
        <v>0</v>
      </c>
      <c r="B394" s="1" t="s">
        <v>43</v>
      </c>
      <c r="C394" s="1">
        <v>86.25</v>
      </c>
      <c r="D394" s="1">
        <v>4</v>
      </c>
    </row>
    <row r="395" spans="1:4" x14ac:dyDescent="0.25">
      <c r="A395" s="1">
        <f t="shared" si="11"/>
        <v>0</v>
      </c>
      <c r="B395" s="1" t="s">
        <v>44</v>
      </c>
      <c r="C395" s="1">
        <v>460.8</v>
      </c>
      <c r="D395" s="1">
        <v>13</v>
      </c>
    </row>
    <row r="396" spans="1:4" x14ac:dyDescent="0.25">
      <c r="A396" s="1">
        <f t="shared" si="11"/>
        <v>0</v>
      </c>
      <c r="B396" s="1" t="s">
        <v>45</v>
      </c>
      <c r="C396" s="1">
        <v>258.75</v>
      </c>
      <c r="D396" s="1">
        <v>9</v>
      </c>
    </row>
    <row r="397" spans="1:4" x14ac:dyDescent="0.25">
      <c r="A397" s="1">
        <f t="shared" si="11"/>
        <v>0</v>
      </c>
      <c r="B397" s="1" t="s">
        <v>39</v>
      </c>
      <c r="C397" s="1">
        <v>40</v>
      </c>
      <c r="D397" s="1">
        <v>1</v>
      </c>
    </row>
    <row r="398" spans="1:4" x14ac:dyDescent="0.25">
      <c r="A398" s="1">
        <f t="shared" si="11"/>
        <v>0</v>
      </c>
      <c r="B398" s="1" t="s">
        <v>34</v>
      </c>
      <c r="C398" s="1">
        <v>64</v>
      </c>
      <c r="D398" s="1">
        <v>1</v>
      </c>
    </row>
    <row r="399" spans="1:4" x14ac:dyDescent="0.25">
      <c r="A399" s="1">
        <f t="shared" si="11"/>
        <v>399</v>
      </c>
      <c r="B399" s="1" t="s">
        <v>82</v>
      </c>
    </row>
    <row r="400" spans="1:4" x14ac:dyDescent="0.25">
      <c r="A400" s="1">
        <f t="shared" si="11"/>
        <v>0</v>
      </c>
      <c r="B400" s="1" t="s">
        <v>1</v>
      </c>
      <c r="C400" s="1">
        <v>32</v>
      </c>
    </row>
    <row r="401" spans="1:4" x14ac:dyDescent="0.25">
      <c r="A401" s="1">
        <f t="shared" si="11"/>
        <v>0</v>
      </c>
      <c r="B401" s="1" t="s">
        <v>2</v>
      </c>
      <c r="C401" s="1">
        <v>1367.11</v>
      </c>
    </row>
    <row r="402" spans="1:4" x14ac:dyDescent="0.25">
      <c r="A402" s="1">
        <f t="shared" si="11"/>
        <v>0</v>
      </c>
      <c r="B402" s="1" t="s">
        <v>3</v>
      </c>
      <c r="C402" s="1" t="s">
        <v>4</v>
      </c>
      <c r="D402" s="1" t="s">
        <v>5</v>
      </c>
    </row>
    <row r="403" spans="1:4" x14ac:dyDescent="0.25">
      <c r="A403" s="1">
        <f t="shared" si="11"/>
        <v>0</v>
      </c>
      <c r="B403" s="1" t="s">
        <v>20</v>
      </c>
      <c r="C403" s="1">
        <v>192</v>
      </c>
      <c r="D403" s="1">
        <v>5</v>
      </c>
    </row>
    <row r="404" spans="1:4" x14ac:dyDescent="0.25">
      <c r="A404" s="1">
        <f t="shared" si="11"/>
        <v>0</v>
      </c>
      <c r="B404" s="1" t="s">
        <v>33</v>
      </c>
      <c r="C404" s="1">
        <v>80</v>
      </c>
      <c r="D404" s="1">
        <v>2</v>
      </c>
    </row>
    <row r="405" spans="1:4" x14ac:dyDescent="0.25">
      <c r="A405" s="1">
        <f t="shared" si="11"/>
        <v>0</v>
      </c>
      <c r="B405" s="1" t="s">
        <v>40</v>
      </c>
      <c r="C405" s="1">
        <v>109.6</v>
      </c>
      <c r="D405" s="1">
        <v>2</v>
      </c>
    </row>
    <row r="406" spans="1:4" x14ac:dyDescent="0.25">
      <c r="A406" s="1">
        <f t="shared" si="11"/>
        <v>0</v>
      </c>
      <c r="B406" s="1" t="s">
        <v>9</v>
      </c>
      <c r="C406" s="1">
        <v>164.4</v>
      </c>
      <c r="D406" s="1">
        <v>3</v>
      </c>
    </row>
    <row r="407" spans="1:4" x14ac:dyDescent="0.25">
      <c r="A407" s="1">
        <f t="shared" si="11"/>
        <v>0</v>
      </c>
      <c r="B407" s="1" t="s">
        <v>8</v>
      </c>
      <c r="C407" s="1">
        <v>54.8</v>
      </c>
      <c r="D407" s="1">
        <v>1</v>
      </c>
    </row>
    <row r="408" spans="1:4" x14ac:dyDescent="0.25">
      <c r="A408" s="1">
        <f t="shared" si="11"/>
        <v>0</v>
      </c>
      <c r="B408" s="1" t="s">
        <v>74</v>
      </c>
      <c r="C408" s="1">
        <v>74</v>
      </c>
      <c r="D408" s="1">
        <v>1</v>
      </c>
    </row>
    <row r="409" spans="1:4" x14ac:dyDescent="0.25">
      <c r="A409" s="1">
        <f t="shared" si="11"/>
        <v>0</v>
      </c>
      <c r="B409" s="1" t="s">
        <v>31</v>
      </c>
      <c r="C409" s="1">
        <v>34.56</v>
      </c>
      <c r="D409" s="1">
        <v>1</v>
      </c>
    </row>
    <row r="410" spans="1:4" x14ac:dyDescent="0.25">
      <c r="A410" s="1">
        <f t="shared" si="11"/>
        <v>0</v>
      </c>
      <c r="B410" s="1" t="s">
        <v>49</v>
      </c>
      <c r="C410" s="1">
        <v>120</v>
      </c>
      <c r="D410" s="1">
        <v>3</v>
      </c>
    </row>
    <row r="411" spans="1:4" x14ac:dyDescent="0.25">
      <c r="A411" s="1">
        <f t="shared" si="11"/>
        <v>0</v>
      </c>
      <c r="B411" s="1" t="s">
        <v>18</v>
      </c>
      <c r="C411" s="1">
        <v>115.2</v>
      </c>
      <c r="D411" s="1">
        <v>3</v>
      </c>
    </row>
    <row r="412" spans="1:4" x14ac:dyDescent="0.25">
      <c r="A412" s="1">
        <f t="shared" si="11"/>
        <v>0</v>
      </c>
      <c r="B412" s="1" t="s">
        <v>10</v>
      </c>
      <c r="C412" s="1">
        <v>76.8</v>
      </c>
      <c r="D412" s="1">
        <v>2</v>
      </c>
    </row>
    <row r="413" spans="1:4" x14ac:dyDescent="0.25">
      <c r="A413" s="1">
        <f t="shared" si="11"/>
        <v>0</v>
      </c>
      <c r="B413" s="1" t="s">
        <v>17</v>
      </c>
      <c r="C413" s="1">
        <v>153.6</v>
      </c>
      <c r="D413" s="1">
        <v>4</v>
      </c>
    </row>
    <row r="414" spans="1:4" x14ac:dyDescent="0.25">
      <c r="A414" s="1">
        <f t="shared" si="11"/>
        <v>0</v>
      </c>
      <c r="B414" s="1" t="s">
        <v>22</v>
      </c>
      <c r="C414" s="1">
        <v>54.8</v>
      </c>
      <c r="D414" s="1">
        <v>1</v>
      </c>
    </row>
    <row r="415" spans="1:4" x14ac:dyDescent="0.25">
      <c r="A415" s="1">
        <f t="shared" si="11"/>
        <v>0</v>
      </c>
      <c r="B415" s="1" t="s">
        <v>16</v>
      </c>
      <c r="C415" s="1">
        <v>35.200000000000003</v>
      </c>
      <c r="D415" s="1">
        <v>1</v>
      </c>
    </row>
    <row r="416" spans="1:4" x14ac:dyDescent="0.25">
      <c r="A416" s="1">
        <f t="shared" si="11"/>
        <v>0</v>
      </c>
      <c r="B416" s="1" t="s">
        <v>12</v>
      </c>
      <c r="C416" s="1">
        <v>35</v>
      </c>
      <c r="D416" s="1">
        <v>1</v>
      </c>
    </row>
    <row r="417" spans="1:4" x14ac:dyDescent="0.25">
      <c r="A417" s="1">
        <f t="shared" si="11"/>
        <v>0</v>
      </c>
      <c r="B417" s="1" t="s">
        <v>45</v>
      </c>
      <c r="C417" s="1">
        <v>28.75</v>
      </c>
      <c r="D417" s="1">
        <v>1</v>
      </c>
    </row>
    <row r="418" spans="1:4" x14ac:dyDescent="0.25">
      <c r="A418" s="1">
        <f t="shared" si="11"/>
        <v>0</v>
      </c>
      <c r="B418" s="1" t="s">
        <v>51</v>
      </c>
      <c r="C418" s="1">
        <v>38.4</v>
      </c>
      <c r="D418" s="1">
        <v>1</v>
      </c>
    </row>
    <row r="419" spans="1:4" x14ac:dyDescent="0.25">
      <c r="A419" s="1">
        <f t="shared" si="11"/>
        <v>419</v>
      </c>
      <c r="B419" s="1" t="s">
        <v>83</v>
      </c>
    </row>
    <row r="420" spans="1:4" x14ac:dyDescent="0.25">
      <c r="A420" s="1">
        <f t="shared" si="11"/>
        <v>0</v>
      </c>
      <c r="B420" s="1" t="s">
        <v>1</v>
      </c>
      <c r="C420" s="1">
        <v>65</v>
      </c>
    </row>
    <row r="421" spans="1:4" x14ac:dyDescent="0.25">
      <c r="A421" s="1">
        <f t="shared" si="11"/>
        <v>0</v>
      </c>
      <c r="B421" s="1" t="s">
        <v>2</v>
      </c>
      <c r="C421" s="1">
        <v>2670.84</v>
      </c>
    </row>
    <row r="422" spans="1:4" x14ac:dyDescent="0.25">
      <c r="A422" s="1">
        <f t="shared" si="11"/>
        <v>0</v>
      </c>
      <c r="B422" s="1" t="s">
        <v>3</v>
      </c>
      <c r="C422" s="1" t="s">
        <v>4</v>
      </c>
      <c r="D422" s="1" t="s">
        <v>5</v>
      </c>
    </row>
    <row r="423" spans="1:4" x14ac:dyDescent="0.25">
      <c r="A423" s="1">
        <f t="shared" si="11"/>
        <v>0</v>
      </c>
      <c r="B423" s="1" t="s">
        <v>49</v>
      </c>
      <c r="C423" s="1">
        <v>80</v>
      </c>
      <c r="D423" s="1">
        <v>2</v>
      </c>
    </row>
    <row r="424" spans="1:4" x14ac:dyDescent="0.25">
      <c r="A424" s="1">
        <f t="shared" si="11"/>
        <v>0</v>
      </c>
      <c r="B424" s="1" t="s">
        <v>8</v>
      </c>
      <c r="C424" s="1">
        <v>383.6</v>
      </c>
      <c r="D424" s="1">
        <v>7</v>
      </c>
    </row>
    <row r="425" spans="1:4" x14ac:dyDescent="0.25">
      <c r="A425" s="1">
        <f t="shared" si="11"/>
        <v>0</v>
      </c>
      <c r="B425" s="1" t="s">
        <v>12</v>
      </c>
      <c r="C425" s="1">
        <v>245</v>
      </c>
      <c r="D425" s="1">
        <v>8</v>
      </c>
    </row>
    <row r="426" spans="1:4" x14ac:dyDescent="0.25">
      <c r="A426" s="1">
        <f t="shared" si="11"/>
        <v>0</v>
      </c>
      <c r="B426" s="1" t="s">
        <v>62</v>
      </c>
      <c r="C426" s="1">
        <v>76.8</v>
      </c>
      <c r="D426" s="1">
        <v>2</v>
      </c>
    </row>
    <row r="427" spans="1:4" x14ac:dyDescent="0.25">
      <c r="A427" s="1">
        <f t="shared" si="11"/>
        <v>0</v>
      </c>
      <c r="B427" s="1" t="s">
        <v>21</v>
      </c>
      <c r="C427" s="1">
        <v>219.2</v>
      </c>
      <c r="D427" s="1">
        <v>4</v>
      </c>
    </row>
    <row r="428" spans="1:4" x14ac:dyDescent="0.25">
      <c r="A428" s="1">
        <f t="shared" si="11"/>
        <v>0</v>
      </c>
      <c r="B428" s="1" t="s">
        <v>40</v>
      </c>
      <c r="C428" s="1">
        <v>164.4</v>
      </c>
      <c r="D428" s="1">
        <v>3</v>
      </c>
    </row>
    <row r="429" spans="1:4" x14ac:dyDescent="0.25">
      <c r="A429" s="1">
        <f t="shared" si="11"/>
        <v>0</v>
      </c>
      <c r="B429" s="1" t="s">
        <v>14</v>
      </c>
      <c r="C429" s="1">
        <v>28.75</v>
      </c>
      <c r="D429" s="1">
        <v>1</v>
      </c>
    </row>
    <row r="430" spans="1:4" x14ac:dyDescent="0.25">
      <c r="A430" s="1">
        <f t="shared" si="11"/>
        <v>0</v>
      </c>
      <c r="B430" s="1" t="s">
        <v>19</v>
      </c>
      <c r="C430" s="1">
        <v>28.75</v>
      </c>
      <c r="D430" s="1">
        <v>1</v>
      </c>
    </row>
    <row r="431" spans="1:4" x14ac:dyDescent="0.25">
      <c r="A431" s="1">
        <f t="shared" si="11"/>
        <v>0</v>
      </c>
      <c r="B431" s="1" t="s">
        <v>33</v>
      </c>
      <c r="C431" s="1">
        <v>80</v>
      </c>
      <c r="D431" s="1">
        <v>2</v>
      </c>
    </row>
    <row r="432" spans="1:4" x14ac:dyDescent="0.25">
      <c r="A432" s="1">
        <f t="shared" si="11"/>
        <v>0</v>
      </c>
      <c r="B432" s="1" t="s">
        <v>20</v>
      </c>
      <c r="C432" s="1">
        <v>153.6</v>
      </c>
      <c r="D432" s="1">
        <v>4</v>
      </c>
    </row>
    <row r="433" spans="1:4" x14ac:dyDescent="0.25">
      <c r="A433" s="1">
        <f t="shared" si="11"/>
        <v>0</v>
      </c>
      <c r="B433" s="1" t="s">
        <v>17</v>
      </c>
      <c r="C433" s="1">
        <v>230.4</v>
      </c>
      <c r="D433" s="1">
        <v>6</v>
      </c>
    </row>
    <row r="434" spans="1:4" x14ac:dyDescent="0.25">
      <c r="A434" s="1">
        <f t="shared" si="11"/>
        <v>0</v>
      </c>
      <c r="B434" s="1" t="s">
        <v>32</v>
      </c>
      <c r="C434" s="1">
        <v>76.8</v>
      </c>
      <c r="D434" s="1">
        <v>2</v>
      </c>
    </row>
    <row r="435" spans="1:4" x14ac:dyDescent="0.25">
      <c r="A435" s="1">
        <f t="shared" si="11"/>
        <v>0</v>
      </c>
      <c r="B435" s="1" t="s">
        <v>18</v>
      </c>
      <c r="C435" s="1">
        <v>499.2</v>
      </c>
      <c r="D435" s="1">
        <v>13</v>
      </c>
    </row>
    <row r="436" spans="1:4" x14ac:dyDescent="0.25">
      <c r="A436" s="1">
        <f t="shared" si="11"/>
        <v>0</v>
      </c>
      <c r="B436" s="1" t="s">
        <v>57</v>
      </c>
      <c r="C436" s="1">
        <v>40</v>
      </c>
      <c r="D436" s="1">
        <v>1</v>
      </c>
    </row>
    <row r="437" spans="1:4" x14ac:dyDescent="0.25">
      <c r="A437" s="1">
        <f t="shared" si="11"/>
        <v>0</v>
      </c>
      <c r="B437" s="1" t="s">
        <v>64</v>
      </c>
      <c r="C437" s="1">
        <v>38.4</v>
      </c>
      <c r="D437" s="1">
        <v>1</v>
      </c>
    </row>
    <row r="438" spans="1:4" x14ac:dyDescent="0.25">
      <c r="A438" s="1">
        <f t="shared" si="11"/>
        <v>0</v>
      </c>
      <c r="B438" s="1" t="s">
        <v>51</v>
      </c>
      <c r="C438" s="1">
        <v>38.4</v>
      </c>
      <c r="D438" s="1">
        <v>1</v>
      </c>
    </row>
    <row r="439" spans="1:4" x14ac:dyDescent="0.25">
      <c r="A439" s="1">
        <f t="shared" si="11"/>
        <v>0</v>
      </c>
      <c r="B439" s="1" t="s">
        <v>41</v>
      </c>
      <c r="C439" s="1">
        <v>28.75</v>
      </c>
      <c r="D439" s="1">
        <v>1</v>
      </c>
    </row>
    <row r="440" spans="1:4" x14ac:dyDescent="0.25">
      <c r="A440" s="1">
        <f t="shared" si="11"/>
        <v>0</v>
      </c>
      <c r="B440" s="1" t="s">
        <v>25</v>
      </c>
      <c r="C440" s="1">
        <v>40</v>
      </c>
      <c r="D440" s="1">
        <v>1</v>
      </c>
    </row>
    <row r="441" spans="1:4" x14ac:dyDescent="0.25">
      <c r="A441" s="1">
        <f t="shared" si="11"/>
        <v>0</v>
      </c>
      <c r="B441" s="1" t="s">
        <v>7</v>
      </c>
      <c r="C441" s="1">
        <v>54.8</v>
      </c>
      <c r="D441" s="1">
        <v>1</v>
      </c>
    </row>
    <row r="442" spans="1:4" x14ac:dyDescent="0.25">
      <c r="A442" s="1">
        <f t="shared" si="11"/>
        <v>0</v>
      </c>
      <c r="B442" s="1" t="s">
        <v>30</v>
      </c>
      <c r="C442" s="1">
        <v>15.99</v>
      </c>
      <c r="D442" s="1">
        <v>1</v>
      </c>
    </row>
    <row r="443" spans="1:4" x14ac:dyDescent="0.25">
      <c r="A443" s="1">
        <f t="shared" si="11"/>
        <v>0</v>
      </c>
      <c r="B443" s="1" t="s">
        <v>22</v>
      </c>
      <c r="C443" s="1">
        <v>54.8</v>
      </c>
      <c r="D443" s="1">
        <v>1</v>
      </c>
    </row>
    <row r="444" spans="1:4" x14ac:dyDescent="0.25">
      <c r="A444" s="1">
        <f t="shared" si="11"/>
        <v>0</v>
      </c>
      <c r="B444" s="1" t="s">
        <v>6</v>
      </c>
      <c r="C444" s="1">
        <v>54.8</v>
      </c>
      <c r="D444" s="1">
        <v>1</v>
      </c>
    </row>
    <row r="445" spans="1:4" x14ac:dyDescent="0.25">
      <c r="A445" s="1">
        <f t="shared" si="11"/>
        <v>0</v>
      </c>
      <c r="B445" s="1" t="s">
        <v>44</v>
      </c>
      <c r="C445" s="1">
        <v>38.4</v>
      </c>
      <c r="D445" s="1">
        <v>1</v>
      </c>
    </row>
    <row r="446" spans="1:4" x14ac:dyDescent="0.25">
      <c r="A446" s="1">
        <f t="shared" si="11"/>
        <v>446</v>
      </c>
      <c r="B446" s="1" t="s">
        <v>84</v>
      </c>
    </row>
    <row r="447" spans="1:4" x14ac:dyDescent="0.25">
      <c r="A447" s="1">
        <f t="shared" si="11"/>
        <v>0</v>
      </c>
      <c r="B447" s="1" t="s">
        <v>1</v>
      </c>
      <c r="C447" s="1">
        <v>92</v>
      </c>
    </row>
    <row r="448" spans="1:4" x14ac:dyDescent="0.25">
      <c r="A448" s="1">
        <f t="shared" si="11"/>
        <v>0</v>
      </c>
      <c r="B448" s="1" t="s">
        <v>2</v>
      </c>
      <c r="C448" s="1">
        <v>3908.09</v>
      </c>
    </row>
    <row r="449" spans="1:4" x14ac:dyDescent="0.25">
      <c r="A449" s="1">
        <f t="shared" si="11"/>
        <v>0</v>
      </c>
      <c r="B449" s="1" t="s">
        <v>3</v>
      </c>
      <c r="C449" s="1" t="s">
        <v>4</v>
      </c>
      <c r="D449" s="1" t="s">
        <v>5</v>
      </c>
    </row>
    <row r="450" spans="1:4" x14ac:dyDescent="0.25">
      <c r="A450" s="1">
        <f t="shared" ref="A450:A513" si="12">IF(COUNTIF($V$3:$Y$99, $B450)&lt;&gt;0, ROW($B450), 0)</f>
        <v>0</v>
      </c>
      <c r="B450" s="1" t="s">
        <v>20</v>
      </c>
      <c r="C450" s="1">
        <v>499.2</v>
      </c>
      <c r="D450" s="1">
        <v>13</v>
      </c>
    </row>
    <row r="451" spans="1:4" x14ac:dyDescent="0.25">
      <c r="A451" s="1">
        <f t="shared" si="12"/>
        <v>0</v>
      </c>
      <c r="B451" s="1" t="s">
        <v>17</v>
      </c>
      <c r="C451" s="1">
        <v>307.2</v>
      </c>
      <c r="D451" s="1">
        <v>8</v>
      </c>
    </row>
    <row r="452" spans="1:4" x14ac:dyDescent="0.25">
      <c r="A452" s="1">
        <f t="shared" si="12"/>
        <v>0</v>
      </c>
      <c r="B452" s="1" t="s">
        <v>6</v>
      </c>
      <c r="C452" s="1">
        <v>54.8</v>
      </c>
      <c r="D452" s="1">
        <v>1</v>
      </c>
    </row>
    <row r="453" spans="1:4" x14ac:dyDescent="0.25">
      <c r="A453" s="1">
        <f t="shared" si="12"/>
        <v>0</v>
      </c>
      <c r="B453" s="1" t="s">
        <v>16</v>
      </c>
      <c r="C453" s="1">
        <v>246.4</v>
      </c>
      <c r="D453" s="1">
        <v>7</v>
      </c>
    </row>
    <row r="454" spans="1:4" x14ac:dyDescent="0.25">
      <c r="A454" s="1">
        <f t="shared" si="12"/>
        <v>0</v>
      </c>
      <c r="B454" s="1" t="s">
        <v>52</v>
      </c>
      <c r="C454" s="1">
        <v>128</v>
      </c>
      <c r="D454" s="1">
        <v>3</v>
      </c>
    </row>
    <row r="455" spans="1:4" x14ac:dyDescent="0.25">
      <c r="A455" s="1">
        <f t="shared" si="12"/>
        <v>0</v>
      </c>
      <c r="B455" s="1" t="s">
        <v>12</v>
      </c>
      <c r="C455" s="1">
        <v>315</v>
      </c>
      <c r="D455" s="1">
        <v>9</v>
      </c>
    </row>
    <row r="456" spans="1:4" x14ac:dyDescent="0.25">
      <c r="A456" s="1">
        <f t="shared" si="12"/>
        <v>0</v>
      </c>
      <c r="B456" s="1" t="s">
        <v>57</v>
      </c>
      <c r="C456" s="1">
        <v>80</v>
      </c>
      <c r="D456" s="1">
        <v>2</v>
      </c>
    </row>
    <row r="457" spans="1:4" x14ac:dyDescent="0.25">
      <c r="A457" s="1">
        <f t="shared" si="12"/>
        <v>0</v>
      </c>
      <c r="B457" s="1" t="s">
        <v>33</v>
      </c>
      <c r="C457" s="1">
        <v>40</v>
      </c>
      <c r="D457" s="1">
        <v>1</v>
      </c>
    </row>
    <row r="458" spans="1:4" x14ac:dyDescent="0.25">
      <c r="A458" s="1">
        <f t="shared" si="12"/>
        <v>0</v>
      </c>
      <c r="B458" s="1" t="s">
        <v>62</v>
      </c>
      <c r="C458" s="1">
        <v>38.4</v>
      </c>
      <c r="D458" s="1">
        <v>1</v>
      </c>
    </row>
    <row r="459" spans="1:4" x14ac:dyDescent="0.25">
      <c r="A459" s="1">
        <f t="shared" si="12"/>
        <v>0</v>
      </c>
      <c r="B459" s="1" t="s">
        <v>15</v>
      </c>
      <c r="C459" s="1">
        <v>340</v>
      </c>
      <c r="D459" s="1">
        <v>5</v>
      </c>
    </row>
    <row r="460" spans="1:4" x14ac:dyDescent="0.25">
      <c r="A460" s="1">
        <f t="shared" si="12"/>
        <v>0</v>
      </c>
      <c r="B460" s="1" t="s">
        <v>40</v>
      </c>
      <c r="C460" s="1">
        <v>164.4</v>
      </c>
      <c r="D460" s="1">
        <v>3</v>
      </c>
    </row>
    <row r="461" spans="1:4" x14ac:dyDescent="0.25">
      <c r="A461" s="1">
        <f t="shared" si="12"/>
        <v>0</v>
      </c>
      <c r="B461" s="1" t="s">
        <v>8</v>
      </c>
      <c r="C461" s="1">
        <v>328.8</v>
      </c>
      <c r="D461" s="1">
        <v>6</v>
      </c>
    </row>
    <row r="462" spans="1:4" x14ac:dyDescent="0.25">
      <c r="A462" s="1">
        <f t="shared" si="12"/>
        <v>0</v>
      </c>
      <c r="B462" s="1" t="s">
        <v>69</v>
      </c>
      <c r="C462" s="1">
        <v>64</v>
      </c>
      <c r="D462" s="1">
        <v>1</v>
      </c>
    </row>
    <row r="463" spans="1:4" x14ac:dyDescent="0.25">
      <c r="A463" s="1">
        <f t="shared" si="12"/>
        <v>0</v>
      </c>
      <c r="B463" s="1" t="s">
        <v>54</v>
      </c>
      <c r="C463" s="1">
        <v>230.4</v>
      </c>
      <c r="D463" s="1">
        <v>6</v>
      </c>
    </row>
    <row r="464" spans="1:4" x14ac:dyDescent="0.25">
      <c r="A464" s="1">
        <f t="shared" si="12"/>
        <v>0</v>
      </c>
      <c r="B464" s="1" t="s">
        <v>49</v>
      </c>
      <c r="C464" s="1">
        <v>80</v>
      </c>
      <c r="D464" s="1">
        <v>2</v>
      </c>
    </row>
    <row r="465" spans="1:4" x14ac:dyDescent="0.25">
      <c r="A465" s="1">
        <f t="shared" si="12"/>
        <v>0</v>
      </c>
      <c r="B465" s="1" t="s">
        <v>21</v>
      </c>
      <c r="C465" s="1">
        <v>274</v>
      </c>
      <c r="D465" s="1">
        <v>5</v>
      </c>
    </row>
    <row r="466" spans="1:4" x14ac:dyDescent="0.25">
      <c r="A466" s="1">
        <f t="shared" si="12"/>
        <v>0</v>
      </c>
      <c r="B466" s="1" t="s">
        <v>18</v>
      </c>
      <c r="C466" s="1">
        <v>230.4</v>
      </c>
      <c r="D466" s="1">
        <v>6</v>
      </c>
    </row>
    <row r="467" spans="1:4" x14ac:dyDescent="0.25">
      <c r="A467" s="1">
        <f t="shared" si="12"/>
        <v>0</v>
      </c>
      <c r="B467" s="1" t="s">
        <v>22</v>
      </c>
      <c r="C467" s="1">
        <v>274</v>
      </c>
      <c r="D467" s="1">
        <v>6</v>
      </c>
    </row>
    <row r="468" spans="1:4" x14ac:dyDescent="0.25">
      <c r="A468" s="1">
        <f t="shared" si="12"/>
        <v>0</v>
      </c>
      <c r="B468" s="1" t="s">
        <v>19</v>
      </c>
      <c r="C468" s="1">
        <v>28.75</v>
      </c>
      <c r="D468" s="1">
        <v>1</v>
      </c>
    </row>
    <row r="469" spans="1:4" x14ac:dyDescent="0.25">
      <c r="A469" s="1">
        <f t="shared" si="12"/>
        <v>0</v>
      </c>
      <c r="B469" s="1" t="s">
        <v>25</v>
      </c>
      <c r="C469" s="1">
        <v>40</v>
      </c>
      <c r="D469" s="1">
        <v>1</v>
      </c>
    </row>
    <row r="470" spans="1:4" x14ac:dyDescent="0.25">
      <c r="A470" s="1">
        <f t="shared" si="12"/>
        <v>0</v>
      </c>
      <c r="B470" s="1" t="s">
        <v>30</v>
      </c>
      <c r="C470" s="1">
        <v>15.99</v>
      </c>
      <c r="D470" s="1">
        <v>1</v>
      </c>
    </row>
    <row r="471" spans="1:4" x14ac:dyDescent="0.25">
      <c r="A471" s="1">
        <f t="shared" si="12"/>
        <v>0</v>
      </c>
      <c r="B471" s="1" t="s">
        <v>59</v>
      </c>
      <c r="C471" s="1">
        <v>40</v>
      </c>
      <c r="D471" s="1">
        <v>1</v>
      </c>
    </row>
    <row r="472" spans="1:4" x14ac:dyDescent="0.25">
      <c r="A472" s="1">
        <f t="shared" si="12"/>
        <v>0</v>
      </c>
      <c r="B472" s="1" t="s">
        <v>67</v>
      </c>
      <c r="C472" s="1">
        <v>49.95</v>
      </c>
      <c r="D472" s="1">
        <v>1</v>
      </c>
    </row>
    <row r="473" spans="1:4" x14ac:dyDescent="0.25">
      <c r="A473" s="1">
        <f t="shared" si="12"/>
        <v>0</v>
      </c>
      <c r="B473" s="1" t="s">
        <v>44</v>
      </c>
      <c r="C473" s="1">
        <v>38.4</v>
      </c>
      <c r="D473" s="1">
        <v>2</v>
      </c>
    </row>
    <row r="474" spans="1:4" x14ac:dyDescent="0.25">
      <c r="A474" s="1">
        <f t="shared" si="12"/>
        <v>474</v>
      </c>
      <c r="B474" s="1" t="s">
        <v>85</v>
      </c>
    </row>
    <row r="475" spans="1:4" x14ac:dyDescent="0.25">
      <c r="A475" s="1">
        <f t="shared" si="12"/>
        <v>0</v>
      </c>
      <c r="B475" s="1" t="s">
        <v>1</v>
      </c>
      <c r="C475" s="1">
        <v>119</v>
      </c>
    </row>
    <row r="476" spans="1:4" x14ac:dyDescent="0.25">
      <c r="A476" s="1">
        <f t="shared" si="12"/>
        <v>0</v>
      </c>
      <c r="B476" s="1" t="s">
        <v>2</v>
      </c>
      <c r="C476" s="1">
        <v>4567.71</v>
      </c>
    </row>
    <row r="477" spans="1:4" x14ac:dyDescent="0.25">
      <c r="A477" s="1">
        <f t="shared" si="12"/>
        <v>0</v>
      </c>
      <c r="B477" s="1" t="s">
        <v>3</v>
      </c>
      <c r="C477" s="1" t="s">
        <v>4</v>
      </c>
      <c r="D477" s="1" t="s">
        <v>5</v>
      </c>
    </row>
    <row r="478" spans="1:4" x14ac:dyDescent="0.25">
      <c r="A478" s="1">
        <f t="shared" si="12"/>
        <v>0</v>
      </c>
      <c r="B478" s="1" t="s">
        <v>20</v>
      </c>
      <c r="C478" s="1">
        <v>576</v>
      </c>
      <c r="D478" s="1">
        <v>15</v>
      </c>
    </row>
    <row r="479" spans="1:4" x14ac:dyDescent="0.25">
      <c r="A479" s="1">
        <f t="shared" si="12"/>
        <v>0</v>
      </c>
      <c r="B479" s="1" t="s">
        <v>49</v>
      </c>
      <c r="C479" s="1">
        <v>760</v>
      </c>
      <c r="D479" s="1">
        <v>19</v>
      </c>
    </row>
    <row r="480" spans="1:4" x14ac:dyDescent="0.25">
      <c r="A480" s="1">
        <f t="shared" si="12"/>
        <v>0</v>
      </c>
      <c r="B480" s="1" t="s">
        <v>12</v>
      </c>
      <c r="C480" s="1">
        <v>280</v>
      </c>
      <c r="D480" s="1">
        <v>8</v>
      </c>
    </row>
    <row r="481" spans="1:4" x14ac:dyDescent="0.25">
      <c r="A481" s="1">
        <f t="shared" si="12"/>
        <v>0</v>
      </c>
      <c r="B481" s="1" t="s">
        <v>21</v>
      </c>
      <c r="C481" s="1">
        <v>274</v>
      </c>
      <c r="D481" s="1">
        <v>5</v>
      </c>
    </row>
    <row r="482" spans="1:4" x14ac:dyDescent="0.25">
      <c r="A482" s="1">
        <f t="shared" si="12"/>
        <v>0</v>
      </c>
      <c r="B482" s="1" t="s">
        <v>17</v>
      </c>
      <c r="C482" s="1">
        <v>422.4</v>
      </c>
      <c r="D482" s="1">
        <v>12</v>
      </c>
    </row>
    <row r="483" spans="1:4" x14ac:dyDescent="0.25">
      <c r="A483" s="1">
        <f t="shared" si="12"/>
        <v>0</v>
      </c>
      <c r="B483" s="1" t="s">
        <v>13</v>
      </c>
      <c r="C483" s="1">
        <v>76.8</v>
      </c>
      <c r="D483" s="1">
        <v>2</v>
      </c>
    </row>
    <row r="484" spans="1:4" x14ac:dyDescent="0.25">
      <c r="A484" s="1">
        <f t="shared" si="12"/>
        <v>0</v>
      </c>
      <c r="B484" s="1" t="s">
        <v>8</v>
      </c>
      <c r="C484" s="1">
        <v>274</v>
      </c>
      <c r="D484" s="1">
        <v>6</v>
      </c>
    </row>
    <row r="485" spans="1:4" x14ac:dyDescent="0.25">
      <c r="A485" s="1">
        <f t="shared" si="12"/>
        <v>0</v>
      </c>
      <c r="B485" s="1" t="s">
        <v>52</v>
      </c>
      <c r="C485" s="1">
        <v>64</v>
      </c>
      <c r="D485" s="1">
        <v>1</v>
      </c>
    </row>
    <row r="486" spans="1:4" x14ac:dyDescent="0.25">
      <c r="A486" s="1">
        <f t="shared" si="12"/>
        <v>0</v>
      </c>
      <c r="B486" s="1" t="s">
        <v>7</v>
      </c>
      <c r="C486" s="1">
        <v>109.6</v>
      </c>
      <c r="D486" s="1">
        <v>3</v>
      </c>
    </row>
    <row r="487" spans="1:4" x14ac:dyDescent="0.25">
      <c r="A487" s="1">
        <f t="shared" si="12"/>
        <v>0</v>
      </c>
      <c r="B487" s="1" t="s">
        <v>35</v>
      </c>
      <c r="C487" s="1">
        <v>38.4</v>
      </c>
      <c r="D487" s="1">
        <v>1</v>
      </c>
    </row>
    <row r="488" spans="1:4" x14ac:dyDescent="0.25">
      <c r="A488" s="1">
        <f t="shared" si="12"/>
        <v>0</v>
      </c>
      <c r="B488" s="1" t="s">
        <v>18</v>
      </c>
      <c r="C488" s="1">
        <v>422.4</v>
      </c>
      <c r="D488" s="1">
        <v>11</v>
      </c>
    </row>
    <row r="489" spans="1:4" x14ac:dyDescent="0.25">
      <c r="A489" s="1">
        <f t="shared" si="12"/>
        <v>0</v>
      </c>
      <c r="B489" s="1" t="s">
        <v>15</v>
      </c>
      <c r="C489" s="1">
        <v>136</v>
      </c>
      <c r="D489" s="1">
        <v>2</v>
      </c>
    </row>
    <row r="490" spans="1:4" x14ac:dyDescent="0.25">
      <c r="A490" s="1">
        <f t="shared" si="12"/>
        <v>0</v>
      </c>
      <c r="B490" s="1" t="s">
        <v>16</v>
      </c>
      <c r="C490" s="1">
        <v>176</v>
      </c>
      <c r="D490" s="1">
        <v>7</v>
      </c>
    </row>
    <row r="491" spans="1:4" x14ac:dyDescent="0.25">
      <c r="A491" s="1">
        <f t="shared" si="12"/>
        <v>0</v>
      </c>
      <c r="B491" s="1" t="s">
        <v>22</v>
      </c>
      <c r="C491" s="1">
        <v>54.8</v>
      </c>
      <c r="D491" s="1">
        <v>1</v>
      </c>
    </row>
    <row r="492" spans="1:4" x14ac:dyDescent="0.25">
      <c r="A492" s="1">
        <f t="shared" si="12"/>
        <v>0</v>
      </c>
      <c r="B492" s="1" t="s">
        <v>26</v>
      </c>
      <c r="C492" s="1">
        <v>37.5</v>
      </c>
      <c r="D492" s="1">
        <v>1</v>
      </c>
    </row>
    <row r="493" spans="1:4" x14ac:dyDescent="0.25">
      <c r="A493" s="1">
        <f t="shared" si="12"/>
        <v>0</v>
      </c>
      <c r="B493" s="1" t="s">
        <v>33</v>
      </c>
      <c r="C493" s="1">
        <v>80</v>
      </c>
      <c r="D493" s="1">
        <v>2</v>
      </c>
    </row>
    <row r="494" spans="1:4" x14ac:dyDescent="0.25">
      <c r="A494" s="1">
        <f t="shared" si="12"/>
        <v>0</v>
      </c>
      <c r="B494" s="1" t="s">
        <v>6</v>
      </c>
      <c r="C494" s="1">
        <v>54.8</v>
      </c>
      <c r="D494" s="1">
        <v>1</v>
      </c>
    </row>
    <row r="495" spans="1:4" x14ac:dyDescent="0.25">
      <c r="A495" s="1">
        <f t="shared" si="12"/>
        <v>0</v>
      </c>
      <c r="B495" s="1" t="s">
        <v>62</v>
      </c>
      <c r="C495" s="1">
        <v>38.4</v>
      </c>
      <c r="D495" s="1">
        <v>1</v>
      </c>
    </row>
    <row r="496" spans="1:4" x14ac:dyDescent="0.25">
      <c r="A496" s="1">
        <f t="shared" si="12"/>
        <v>0</v>
      </c>
      <c r="B496" s="1" t="s">
        <v>31</v>
      </c>
      <c r="C496" s="1">
        <v>34.56</v>
      </c>
      <c r="D496" s="1">
        <v>1</v>
      </c>
    </row>
    <row r="497" spans="1:4" x14ac:dyDescent="0.25">
      <c r="A497" s="1">
        <f t="shared" si="12"/>
        <v>0</v>
      </c>
      <c r="B497" s="1" t="s">
        <v>54</v>
      </c>
      <c r="C497" s="1">
        <v>76.8</v>
      </c>
      <c r="D497" s="1">
        <v>2</v>
      </c>
    </row>
    <row r="498" spans="1:4" x14ac:dyDescent="0.25">
      <c r="A498" s="1">
        <f t="shared" si="12"/>
        <v>0</v>
      </c>
      <c r="B498" s="1" t="s">
        <v>50</v>
      </c>
      <c r="C498" s="1">
        <v>42.5</v>
      </c>
      <c r="D498" s="1">
        <v>1</v>
      </c>
    </row>
    <row r="499" spans="1:4" x14ac:dyDescent="0.25">
      <c r="A499" s="1">
        <f t="shared" si="12"/>
        <v>0</v>
      </c>
      <c r="B499" s="1" t="s">
        <v>32</v>
      </c>
      <c r="C499" s="1">
        <v>76.8</v>
      </c>
      <c r="D499" s="1">
        <v>4</v>
      </c>
    </row>
    <row r="500" spans="1:4" x14ac:dyDescent="0.25">
      <c r="A500" s="1">
        <f t="shared" si="12"/>
        <v>0</v>
      </c>
      <c r="B500" s="1" t="s">
        <v>40</v>
      </c>
      <c r="C500" s="1">
        <v>164.4</v>
      </c>
      <c r="D500" s="1">
        <v>3</v>
      </c>
    </row>
    <row r="501" spans="1:4" x14ac:dyDescent="0.25">
      <c r="A501" s="1">
        <f t="shared" si="12"/>
        <v>0</v>
      </c>
      <c r="B501" s="1" t="s">
        <v>27</v>
      </c>
      <c r="C501" s="1">
        <v>76.8</v>
      </c>
      <c r="D501" s="1">
        <v>2</v>
      </c>
    </row>
    <row r="502" spans="1:4" x14ac:dyDescent="0.25">
      <c r="A502" s="1">
        <f t="shared" si="12"/>
        <v>0</v>
      </c>
      <c r="B502" s="1" t="s">
        <v>56</v>
      </c>
      <c r="C502" s="1">
        <v>76.8</v>
      </c>
      <c r="D502" s="1">
        <v>2</v>
      </c>
    </row>
    <row r="503" spans="1:4" x14ac:dyDescent="0.25">
      <c r="A503" s="1">
        <f t="shared" si="12"/>
        <v>0</v>
      </c>
      <c r="B503" s="1" t="s">
        <v>44</v>
      </c>
      <c r="C503" s="1">
        <v>76.8</v>
      </c>
      <c r="D503" s="1">
        <v>3</v>
      </c>
    </row>
    <row r="504" spans="1:4" x14ac:dyDescent="0.25">
      <c r="A504" s="1">
        <f t="shared" si="12"/>
        <v>0</v>
      </c>
      <c r="B504" s="1" t="s">
        <v>45</v>
      </c>
      <c r="C504" s="1">
        <v>28.75</v>
      </c>
      <c r="D504" s="1">
        <v>1</v>
      </c>
    </row>
    <row r="505" spans="1:4" x14ac:dyDescent="0.25">
      <c r="A505" s="1">
        <f t="shared" si="12"/>
        <v>0</v>
      </c>
      <c r="B505" s="1" t="s">
        <v>36</v>
      </c>
      <c r="C505" s="1">
        <v>38.4</v>
      </c>
      <c r="D505" s="1">
        <v>2</v>
      </c>
    </row>
    <row r="506" spans="1:4" x14ac:dyDescent="0.25">
      <c r="A506" s="1">
        <f t="shared" si="12"/>
        <v>506</v>
      </c>
      <c r="B506" s="1" t="s">
        <v>86</v>
      </c>
    </row>
    <row r="507" spans="1:4" x14ac:dyDescent="0.25">
      <c r="A507" s="1">
        <f t="shared" si="12"/>
        <v>0</v>
      </c>
      <c r="B507" s="1" t="s">
        <v>1</v>
      </c>
      <c r="C507" s="1">
        <v>238</v>
      </c>
    </row>
    <row r="508" spans="1:4" x14ac:dyDescent="0.25">
      <c r="A508" s="1">
        <f t="shared" si="12"/>
        <v>0</v>
      </c>
      <c r="B508" s="1" t="s">
        <v>2</v>
      </c>
      <c r="C508" s="1">
        <v>9586.19</v>
      </c>
    </row>
    <row r="509" spans="1:4" x14ac:dyDescent="0.25">
      <c r="A509" s="1">
        <f t="shared" si="12"/>
        <v>0</v>
      </c>
      <c r="B509" s="1" t="s">
        <v>3</v>
      </c>
      <c r="C509" s="1" t="s">
        <v>4</v>
      </c>
      <c r="D509" s="1" t="s">
        <v>5</v>
      </c>
    </row>
    <row r="510" spans="1:4" x14ac:dyDescent="0.25">
      <c r="A510" s="1">
        <f t="shared" si="12"/>
        <v>0</v>
      </c>
      <c r="B510" s="1" t="s">
        <v>17</v>
      </c>
      <c r="C510" s="1">
        <v>1267.2</v>
      </c>
      <c r="D510" s="1">
        <v>38</v>
      </c>
    </row>
    <row r="511" spans="1:4" x14ac:dyDescent="0.25">
      <c r="A511" s="1">
        <f t="shared" si="12"/>
        <v>0</v>
      </c>
      <c r="B511" s="1" t="s">
        <v>22</v>
      </c>
      <c r="C511" s="1">
        <v>274</v>
      </c>
      <c r="D511" s="1">
        <v>5</v>
      </c>
    </row>
    <row r="512" spans="1:4" x14ac:dyDescent="0.25">
      <c r="A512" s="1">
        <f t="shared" si="12"/>
        <v>0</v>
      </c>
      <c r="B512" s="1" t="s">
        <v>10</v>
      </c>
      <c r="C512" s="1">
        <v>115.2</v>
      </c>
      <c r="D512" s="1">
        <v>3</v>
      </c>
    </row>
    <row r="513" spans="1:4" x14ac:dyDescent="0.25">
      <c r="A513" s="1">
        <f t="shared" si="12"/>
        <v>0</v>
      </c>
      <c r="B513" s="1" t="s">
        <v>9</v>
      </c>
      <c r="C513" s="1">
        <v>109.6</v>
      </c>
      <c r="D513" s="1">
        <v>2</v>
      </c>
    </row>
    <row r="514" spans="1:4" x14ac:dyDescent="0.25">
      <c r="A514" s="1">
        <f t="shared" ref="A514:A577" si="13">IF(COUNTIF($V$3:$Y$99, $B514)&lt;&gt;0, ROW($B514), 0)</f>
        <v>0</v>
      </c>
      <c r="B514" s="1" t="s">
        <v>18</v>
      </c>
      <c r="C514" s="1">
        <v>652.79999999999995</v>
      </c>
      <c r="D514" s="1">
        <v>17</v>
      </c>
    </row>
    <row r="515" spans="1:4" x14ac:dyDescent="0.25">
      <c r="A515" s="1">
        <f t="shared" si="13"/>
        <v>0</v>
      </c>
      <c r="B515" s="1" t="s">
        <v>62</v>
      </c>
      <c r="C515" s="1">
        <v>230.4</v>
      </c>
      <c r="D515" s="1">
        <v>6</v>
      </c>
    </row>
    <row r="516" spans="1:4" x14ac:dyDescent="0.25">
      <c r="A516" s="1">
        <f t="shared" si="13"/>
        <v>0</v>
      </c>
      <c r="B516" s="1" t="s">
        <v>20</v>
      </c>
      <c r="C516" s="1">
        <v>652.79999999999995</v>
      </c>
      <c r="D516" s="1">
        <v>18</v>
      </c>
    </row>
    <row r="517" spans="1:4" x14ac:dyDescent="0.25">
      <c r="A517" s="1">
        <f t="shared" si="13"/>
        <v>0</v>
      </c>
      <c r="B517" s="1" t="s">
        <v>8</v>
      </c>
      <c r="C517" s="1">
        <v>822</v>
      </c>
      <c r="D517" s="1">
        <v>15</v>
      </c>
    </row>
    <row r="518" spans="1:4" x14ac:dyDescent="0.25">
      <c r="A518" s="1">
        <f t="shared" si="13"/>
        <v>0</v>
      </c>
      <c r="B518" s="1" t="s">
        <v>21</v>
      </c>
      <c r="C518" s="1">
        <v>328.8</v>
      </c>
      <c r="D518" s="1">
        <v>7</v>
      </c>
    </row>
    <row r="519" spans="1:4" x14ac:dyDescent="0.25">
      <c r="A519" s="1">
        <f t="shared" si="13"/>
        <v>0</v>
      </c>
      <c r="B519" s="1" t="s">
        <v>14</v>
      </c>
      <c r="C519" s="1">
        <v>86.25</v>
      </c>
      <c r="D519" s="1">
        <v>3</v>
      </c>
    </row>
    <row r="520" spans="1:4" x14ac:dyDescent="0.25">
      <c r="A520" s="1">
        <f t="shared" si="13"/>
        <v>0</v>
      </c>
      <c r="B520" s="1" t="s">
        <v>40</v>
      </c>
      <c r="C520" s="1">
        <v>767.2</v>
      </c>
      <c r="D520" s="1">
        <v>14</v>
      </c>
    </row>
    <row r="521" spans="1:4" x14ac:dyDescent="0.25">
      <c r="A521" s="1">
        <f t="shared" si="13"/>
        <v>0</v>
      </c>
      <c r="B521" s="1" t="s">
        <v>33</v>
      </c>
      <c r="C521" s="1">
        <v>240</v>
      </c>
      <c r="D521" s="1">
        <v>6</v>
      </c>
    </row>
    <row r="522" spans="1:4" x14ac:dyDescent="0.25">
      <c r="A522" s="1">
        <f t="shared" si="13"/>
        <v>0</v>
      </c>
      <c r="B522" s="1" t="s">
        <v>6</v>
      </c>
      <c r="C522" s="1">
        <v>164.4</v>
      </c>
      <c r="D522" s="1">
        <v>3</v>
      </c>
    </row>
    <row r="523" spans="1:4" x14ac:dyDescent="0.25">
      <c r="A523" s="1">
        <f t="shared" si="13"/>
        <v>0</v>
      </c>
      <c r="B523" s="1" t="s">
        <v>12</v>
      </c>
      <c r="C523" s="1">
        <v>840</v>
      </c>
      <c r="D523" s="1">
        <v>25</v>
      </c>
    </row>
    <row r="524" spans="1:4" x14ac:dyDescent="0.25">
      <c r="A524" s="1">
        <f t="shared" si="13"/>
        <v>0</v>
      </c>
      <c r="B524" s="1" t="s">
        <v>15</v>
      </c>
      <c r="C524" s="1">
        <v>136</v>
      </c>
      <c r="D524" s="1">
        <v>2</v>
      </c>
    </row>
    <row r="525" spans="1:4" x14ac:dyDescent="0.25">
      <c r="A525" s="1">
        <f t="shared" si="13"/>
        <v>0</v>
      </c>
      <c r="B525" s="1" t="s">
        <v>51</v>
      </c>
      <c r="C525" s="1">
        <v>230.4</v>
      </c>
      <c r="D525" s="1">
        <v>9</v>
      </c>
    </row>
    <row r="526" spans="1:4" x14ac:dyDescent="0.25">
      <c r="A526" s="1">
        <f t="shared" si="13"/>
        <v>0</v>
      </c>
      <c r="B526" s="1" t="s">
        <v>69</v>
      </c>
      <c r="C526" s="1">
        <v>64</v>
      </c>
      <c r="D526" s="1">
        <v>1</v>
      </c>
    </row>
    <row r="527" spans="1:4" x14ac:dyDescent="0.25">
      <c r="A527" s="1">
        <f t="shared" si="13"/>
        <v>0</v>
      </c>
      <c r="B527" s="1" t="s">
        <v>16</v>
      </c>
      <c r="C527" s="1">
        <v>70.400000000000006</v>
      </c>
      <c r="D527" s="1">
        <v>2</v>
      </c>
    </row>
    <row r="528" spans="1:4" x14ac:dyDescent="0.25">
      <c r="A528" s="1">
        <f t="shared" si="13"/>
        <v>0</v>
      </c>
      <c r="B528" s="1" t="s">
        <v>42</v>
      </c>
      <c r="C528" s="1">
        <v>40</v>
      </c>
      <c r="D528" s="1">
        <v>1</v>
      </c>
    </row>
    <row r="529" spans="1:4" x14ac:dyDescent="0.25">
      <c r="A529" s="1">
        <f t="shared" si="13"/>
        <v>0</v>
      </c>
      <c r="B529" s="1" t="s">
        <v>31</v>
      </c>
      <c r="C529" s="1">
        <v>69.12</v>
      </c>
      <c r="D529" s="1">
        <v>2</v>
      </c>
    </row>
    <row r="530" spans="1:4" x14ac:dyDescent="0.25">
      <c r="A530" s="1">
        <f t="shared" si="13"/>
        <v>0</v>
      </c>
      <c r="B530" s="1" t="s">
        <v>49</v>
      </c>
      <c r="C530" s="1">
        <v>320</v>
      </c>
      <c r="D530" s="1">
        <v>8</v>
      </c>
    </row>
    <row r="531" spans="1:4" x14ac:dyDescent="0.25">
      <c r="A531" s="1">
        <f t="shared" si="13"/>
        <v>0</v>
      </c>
      <c r="B531" s="1" t="s">
        <v>7</v>
      </c>
      <c r="C531" s="1">
        <v>493.2</v>
      </c>
      <c r="D531" s="1">
        <v>11</v>
      </c>
    </row>
    <row r="532" spans="1:4" x14ac:dyDescent="0.25">
      <c r="A532" s="1">
        <f t="shared" si="13"/>
        <v>0</v>
      </c>
      <c r="B532" s="1" t="s">
        <v>63</v>
      </c>
      <c r="C532" s="1">
        <v>38.4</v>
      </c>
      <c r="D532" s="1">
        <v>1</v>
      </c>
    </row>
    <row r="533" spans="1:4" x14ac:dyDescent="0.25">
      <c r="A533" s="1">
        <f t="shared" si="13"/>
        <v>0</v>
      </c>
      <c r="B533" s="1" t="s">
        <v>64</v>
      </c>
      <c r="C533" s="1">
        <v>76.8</v>
      </c>
      <c r="D533" s="1">
        <v>2</v>
      </c>
    </row>
    <row r="534" spans="1:4" x14ac:dyDescent="0.25">
      <c r="A534" s="1">
        <f t="shared" si="13"/>
        <v>0</v>
      </c>
      <c r="B534" s="1" t="s">
        <v>25</v>
      </c>
      <c r="C534" s="1">
        <v>80</v>
      </c>
      <c r="D534" s="1">
        <v>2</v>
      </c>
    </row>
    <row r="535" spans="1:4" x14ac:dyDescent="0.25">
      <c r="A535" s="1">
        <f t="shared" si="13"/>
        <v>0</v>
      </c>
      <c r="B535" s="1" t="s">
        <v>54</v>
      </c>
      <c r="C535" s="1">
        <v>76.8</v>
      </c>
      <c r="D535" s="1">
        <v>2</v>
      </c>
    </row>
    <row r="536" spans="1:4" x14ac:dyDescent="0.25">
      <c r="A536" s="1">
        <f t="shared" si="13"/>
        <v>0</v>
      </c>
      <c r="B536" s="1" t="s">
        <v>13</v>
      </c>
      <c r="C536" s="1">
        <v>153.6</v>
      </c>
      <c r="D536" s="1">
        <v>4</v>
      </c>
    </row>
    <row r="537" spans="1:4" x14ac:dyDescent="0.25">
      <c r="A537" s="1">
        <f t="shared" si="13"/>
        <v>0</v>
      </c>
      <c r="B537" s="1" t="s">
        <v>53</v>
      </c>
      <c r="C537" s="1">
        <v>57.5</v>
      </c>
      <c r="D537" s="1">
        <v>2</v>
      </c>
    </row>
    <row r="538" spans="1:4" x14ac:dyDescent="0.25">
      <c r="A538" s="1">
        <f t="shared" si="13"/>
        <v>0</v>
      </c>
      <c r="B538" s="1" t="s">
        <v>61</v>
      </c>
      <c r="C538" s="1">
        <v>128</v>
      </c>
      <c r="D538" s="1">
        <v>2</v>
      </c>
    </row>
    <row r="539" spans="1:4" x14ac:dyDescent="0.25">
      <c r="A539" s="1">
        <f t="shared" si="13"/>
        <v>0</v>
      </c>
      <c r="B539" s="1" t="s">
        <v>27</v>
      </c>
      <c r="C539" s="1">
        <v>153.6</v>
      </c>
      <c r="D539" s="1">
        <v>4</v>
      </c>
    </row>
    <row r="540" spans="1:4" x14ac:dyDescent="0.25">
      <c r="A540" s="1">
        <f t="shared" si="13"/>
        <v>0</v>
      </c>
      <c r="B540" s="1" t="s">
        <v>36</v>
      </c>
      <c r="C540" s="1">
        <v>107.52</v>
      </c>
      <c r="D540" s="1">
        <v>3</v>
      </c>
    </row>
    <row r="541" spans="1:4" x14ac:dyDescent="0.25">
      <c r="A541" s="1">
        <f t="shared" si="13"/>
        <v>0</v>
      </c>
      <c r="B541" s="1" t="s">
        <v>57</v>
      </c>
      <c r="C541" s="1">
        <v>80</v>
      </c>
      <c r="D541" s="1">
        <v>2</v>
      </c>
    </row>
    <row r="542" spans="1:4" x14ac:dyDescent="0.25">
      <c r="A542" s="1">
        <f t="shared" si="13"/>
        <v>0</v>
      </c>
      <c r="B542" s="1" t="s">
        <v>52</v>
      </c>
      <c r="C542" s="1">
        <v>64</v>
      </c>
      <c r="D542" s="1">
        <v>1</v>
      </c>
    </row>
    <row r="543" spans="1:4" x14ac:dyDescent="0.25">
      <c r="A543" s="1">
        <f t="shared" si="13"/>
        <v>0</v>
      </c>
      <c r="B543" s="1" t="s">
        <v>37</v>
      </c>
      <c r="C543" s="1">
        <v>54.8</v>
      </c>
      <c r="D543" s="1">
        <v>1</v>
      </c>
    </row>
    <row r="544" spans="1:4" x14ac:dyDescent="0.25">
      <c r="A544" s="1">
        <f t="shared" si="13"/>
        <v>0</v>
      </c>
      <c r="B544" s="1" t="s">
        <v>65</v>
      </c>
      <c r="C544" s="1">
        <v>49.95</v>
      </c>
      <c r="D544" s="1">
        <v>1</v>
      </c>
    </row>
    <row r="545" spans="1:4" x14ac:dyDescent="0.25">
      <c r="A545" s="1">
        <f t="shared" si="13"/>
        <v>0</v>
      </c>
      <c r="B545" s="1" t="s">
        <v>55</v>
      </c>
      <c r="C545" s="1">
        <v>115.2</v>
      </c>
      <c r="D545" s="1">
        <v>3</v>
      </c>
    </row>
    <row r="546" spans="1:4" x14ac:dyDescent="0.25">
      <c r="A546" s="1">
        <f t="shared" si="13"/>
        <v>0</v>
      </c>
      <c r="B546" s="1" t="s">
        <v>56</v>
      </c>
      <c r="C546" s="1">
        <v>76.8</v>
      </c>
      <c r="D546" s="1">
        <v>2</v>
      </c>
    </row>
    <row r="547" spans="1:4" x14ac:dyDescent="0.25">
      <c r="A547" s="1">
        <f t="shared" si="13"/>
        <v>0</v>
      </c>
      <c r="B547" s="1" t="s">
        <v>67</v>
      </c>
      <c r="C547" s="1">
        <v>49.95</v>
      </c>
      <c r="D547" s="1">
        <v>1</v>
      </c>
    </row>
    <row r="548" spans="1:4" x14ac:dyDescent="0.25">
      <c r="A548" s="1">
        <f t="shared" si="13"/>
        <v>0</v>
      </c>
      <c r="B548" s="1" t="s">
        <v>44</v>
      </c>
      <c r="C548" s="1">
        <v>192</v>
      </c>
      <c r="D548" s="1">
        <v>5</v>
      </c>
    </row>
    <row r="549" spans="1:4" x14ac:dyDescent="0.25">
      <c r="A549" s="1">
        <f t="shared" si="13"/>
        <v>0</v>
      </c>
      <c r="B549" s="1" t="s">
        <v>45</v>
      </c>
      <c r="C549" s="1">
        <v>28.75</v>
      </c>
      <c r="D549" s="1">
        <v>1</v>
      </c>
    </row>
    <row r="550" spans="1:4" x14ac:dyDescent="0.25">
      <c r="A550" s="1">
        <f t="shared" si="13"/>
        <v>0</v>
      </c>
      <c r="B550" s="1" t="s">
        <v>68</v>
      </c>
      <c r="C550" s="1">
        <v>28.75</v>
      </c>
      <c r="D550" s="1">
        <v>1</v>
      </c>
    </row>
    <row r="551" spans="1:4" x14ac:dyDescent="0.25">
      <c r="A551" s="1">
        <f t="shared" si="13"/>
        <v>551</v>
      </c>
      <c r="B551" s="1" t="s">
        <v>87</v>
      </c>
    </row>
    <row r="552" spans="1:4" x14ac:dyDescent="0.25">
      <c r="A552" s="1">
        <f t="shared" si="13"/>
        <v>0</v>
      </c>
      <c r="B552" s="1" t="s">
        <v>1</v>
      </c>
      <c r="C552" s="1">
        <v>18</v>
      </c>
    </row>
    <row r="553" spans="1:4" x14ac:dyDescent="0.25">
      <c r="A553" s="1">
        <f t="shared" si="13"/>
        <v>0</v>
      </c>
      <c r="B553" s="1" t="s">
        <v>2</v>
      </c>
      <c r="C553" s="1">
        <v>689.65</v>
      </c>
    </row>
    <row r="554" spans="1:4" x14ac:dyDescent="0.25">
      <c r="A554" s="1">
        <f t="shared" si="13"/>
        <v>0</v>
      </c>
      <c r="B554" s="1" t="s">
        <v>3</v>
      </c>
      <c r="C554" s="1" t="s">
        <v>4</v>
      </c>
      <c r="D554" s="1" t="s">
        <v>5</v>
      </c>
    </row>
    <row r="555" spans="1:4" x14ac:dyDescent="0.25">
      <c r="A555" s="1">
        <f t="shared" si="13"/>
        <v>0</v>
      </c>
      <c r="B555" s="1" t="s">
        <v>17</v>
      </c>
      <c r="C555" s="1">
        <v>115.2</v>
      </c>
      <c r="D555" s="1">
        <v>3</v>
      </c>
    </row>
    <row r="556" spans="1:4" x14ac:dyDescent="0.25">
      <c r="A556" s="1">
        <f t="shared" si="13"/>
        <v>0</v>
      </c>
      <c r="B556" s="1" t="s">
        <v>20</v>
      </c>
      <c r="C556" s="1">
        <v>115.2</v>
      </c>
      <c r="D556" s="1">
        <v>3</v>
      </c>
    </row>
    <row r="557" spans="1:4" x14ac:dyDescent="0.25">
      <c r="A557" s="1">
        <f t="shared" si="13"/>
        <v>0</v>
      </c>
      <c r="B557" s="1" t="s">
        <v>26</v>
      </c>
      <c r="C557" s="1">
        <v>37.5</v>
      </c>
      <c r="D557" s="1">
        <v>2</v>
      </c>
    </row>
    <row r="558" spans="1:4" x14ac:dyDescent="0.25">
      <c r="A558" s="1">
        <f t="shared" si="13"/>
        <v>0</v>
      </c>
      <c r="B558" s="1" t="s">
        <v>8</v>
      </c>
      <c r="C558" s="1">
        <v>109.6</v>
      </c>
      <c r="D558" s="1">
        <v>2</v>
      </c>
    </row>
    <row r="559" spans="1:4" x14ac:dyDescent="0.25">
      <c r="A559" s="1">
        <f t="shared" si="13"/>
        <v>0</v>
      </c>
      <c r="B559" s="1" t="s">
        <v>64</v>
      </c>
      <c r="C559" s="1">
        <v>38.4</v>
      </c>
      <c r="D559" s="1">
        <v>1</v>
      </c>
    </row>
    <row r="560" spans="1:4" x14ac:dyDescent="0.25">
      <c r="A560" s="1">
        <f t="shared" si="13"/>
        <v>0</v>
      </c>
      <c r="B560" s="1" t="s">
        <v>13</v>
      </c>
      <c r="C560" s="1">
        <v>38.4</v>
      </c>
      <c r="D560" s="1">
        <v>1</v>
      </c>
    </row>
    <row r="561" spans="1:4" x14ac:dyDescent="0.25">
      <c r="A561" s="1">
        <f t="shared" si="13"/>
        <v>0</v>
      </c>
      <c r="B561" s="1" t="s">
        <v>12</v>
      </c>
      <c r="C561" s="1">
        <v>35</v>
      </c>
      <c r="D561" s="1">
        <v>1</v>
      </c>
    </row>
    <row r="562" spans="1:4" x14ac:dyDescent="0.25">
      <c r="A562" s="1">
        <f t="shared" si="13"/>
        <v>0</v>
      </c>
      <c r="B562" s="1" t="s">
        <v>54</v>
      </c>
      <c r="C562" s="1">
        <v>38.4</v>
      </c>
      <c r="D562" s="1">
        <v>1</v>
      </c>
    </row>
    <row r="563" spans="1:4" x14ac:dyDescent="0.25">
      <c r="A563" s="1">
        <f t="shared" si="13"/>
        <v>0</v>
      </c>
      <c r="B563" s="1" t="s">
        <v>7</v>
      </c>
      <c r="C563" s="1">
        <v>54.8</v>
      </c>
      <c r="D563" s="1">
        <v>1</v>
      </c>
    </row>
    <row r="564" spans="1:4" x14ac:dyDescent="0.25">
      <c r="A564" s="1">
        <f t="shared" si="13"/>
        <v>0</v>
      </c>
      <c r="B564" s="1" t="s">
        <v>10</v>
      </c>
      <c r="C564" s="1">
        <v>38.4</v>
      </c>
      <c r="D564" s="1">
        <v>1</v>
      </c>
    </row>
    <row r="565" spans="1:4" x14ac:dyDescent="0.25">
      <c r="A565" s="1">
        <f t="shared" si="13"/>
        <v>0</v>
      </c>
      <c r="B565" s="1" t="s">
        <v>41</v>
      </c>
      <c r="C565" s="1">
        <v>28.75</v>
      </c>
      <c r="D565" s="1">
        <v>1</v>
      </c>
    </row>
    <row r="566" spans="1:4" x14ac:dyDescent="0.25">
      <c r="A566" s="1">
        <f t="shared" si="13"/>
        <v>0</v>
      </c>
      <c r="B566" s="1" t="s">
        <v>25</v>
      </c>
      <c r="C566" s="1">
        <v>40</v>
      </c>
      <c r="D566" s="1">
        <v>1</v>
      </c>
    </row>
    <row r="567" spans="1:4" x14ac:dyDescent="0.25">
      <c r="A567" s="1">
        <f t="shared" si="13"/>
        <v>567</v>
      </c>
      <c r="B567" s="1" t="s">
        <v>88</v>
      </c>
    </row>
    <row r="568" spans="1:4" x14ac:dyDescent="0.25">
      <c r="A568" s="1">
        <f t="shared" si="13"/>
        <v>0</v>
      </c>
      <c r="B568" s="1" t="s">
        <v>1</v>
      </c>
      <c r="C568" s="1">
        <v>115</v>
      </c>
    </row>
    <row r="569" spans="1:4" x14ac:dyDescent="0.25">
      <c r="A569" s="1">
        <f t="shared" si="13"/>
        <v>0</v>
      </c>
      <c r="B569" s="1" t="s">
        <v>2</v>
      </c>
      <c r="C569" s="1">
        <v>4590.71</v>
      </c>
    </row>
    <row r="570" spans="1:4" x14ac:dyDescent="0.25">
      <c r="A570" s="1">
        <f t="shared" si="13"/>
        <v>0</v>
      </c>
      <c r="B570" s="1" t="s">
        <v>3</v>
      </c>
      <c r="C570" s="1" t="s">
        <v>4</v>
      </c>
      <c r="D570" s="1" t="s">
        <v>5</v>
      </c>
    </row>
    <row r="571" spans="1:4" x14ac:dyDescent="0.25">
      <c r="A571" s="1">
        <f t="shared" si="13"/>
        <v>0</v>
      </c>
      <c r="B571" s="1" t="s">
        <v>18</v>
      </c>
      <c r="C571" s="1">
        <v>460.8</v>
      </c>
      <c r="D571" s="1">
        <v>12</v>
      </c>
    </row>
    <row r="572" spans="1:4" x14ac:dyDescent="0.25">
      <c r="A572" s="1">
        <f t="shared" si="13"/>
        <v>0</v>
      </c>
      <c r="B572" s="1" t="s">
        <v>20</v>
      </c>
      <c r="C572" s="1">
        <v>691.2</v>
      </c>
      <c r="D572" s="1">
        <v>18</v>
      </c>
    </row>
    <row r="573" spans="1:4" x14ac:dyDescent="0.25">
      <c r="A573" s="1">
        <f t="shared" si="13"/>
        <v>0</v>
      </c>
      <c r="B573" s="1" t="s">
        <v>21</v>
      </c>
      <c r="C573" s="1">
        <v>383.6</v>
      </c>
      <c r="D573" s="1">
        <v>7</v>
      </c>
    </row>
    <row r="574" spans="1:4" x14ac:dyDescent="0.25">
      <c r="A574" s="1">
        <f t="shared" si="13"/>
        <v>0</v>
      </c>
      <c r="B574" s="1" t="s">
        <v>17</v>
      </c>
      <c r="C574" s="1">
        <v>230.4</v>
      </c>
      <c r="D574" s="1">
        <v>16</v>
      </c>
    </row>
    <row r="575" spans="1:4" x14ac:dyDescent="0.25">
      <c r="A575" s="1">
        <f t="shared" si="13"/>
        <v>0</v>
      </c>
      <c r="B575" s="1" t="s">
        <v>8</v>
      </c>
      <c r="C575" s="1">
        <v>657.6</v>
      </c>
      <c r="D575" s="1">
        <v>12</v>
      </c>
    </row>
    <row r="576" spans="1:4" x14ac:dyDescent="0.25">
      <c r="A576" s="1">
        <f t="shared" si="13"/>
        <v>0</v>
      </c>
      <c r="B576" s="1" t="s">
        <v>22</v>
      </c>
      <c r="C576" s="1">
        <v>54.8</v>
      </c>
      <c r="D576" s="1">
        <v>1</v>
      </c>
    </row>
    <row r="577" spans="1:4" x14ac:dyDescent="0.25">
      <c r="A577" s="1">
        <f t="shared" si="13"/>
        <v>0</v>
      </c>
      <c r="B577" s="1" t="s">
        <v>7</v>
      </c>
      <c r="C577" s="1">
        <v>164.4</v>
      </c>
      <c r="D577" s="1">
        <v>3</v>
      </c>
    </row>
    <row r="578" spans="1:4" x14ac:dyDescent="0.25">
      <c r="A578" s="1">
        <f t="shared" ref="A578:A641" si="14">IF(COUNTIF($V$3:$Y$99, $B578)&lt;&gt;0, ROW($B578), 0)</f>
        <v>0</v>
      </c>
      <c r="B578" s="1" t="s">
        <v>15</v>
      </c>
      <c r="C578" s="1">
        <v>204</v>
      </c>
      <c r="D578" s="1">
        <v>3</v>
      </c>
    </row>
    <row r="579" spans="1:4" x14ac:dyDescent="0.25">
      <c r="A579" s="1">
        <f t="shared" si="14"/>
        <v>0</v>
      </c>
      <c r="B579" s="1" t="s">
        <v>19</v>
      </c>
      <c r="C579" s="1">
        <v>57.5</v>
      </c>
      <c r="D579" s="1">
        <v>2</v>
      </c>
    </row>
    <row r="580" spans="1:4" x14ac:dyDescent="0.25">
      <c r="A580" s="1">
        <f t="shared" si="14"/>
        <v>0</v>
      </c>
      <c r="B580" s="1" t="s">
        <v>40</v>
      </c>
      <c r="C580" s="1">
        <v>274</v>
      </c>
      <c r="D580" s="1">
        <v>5</v>
      </c>
    </row>
    <row r="581" spans="1:4" x14ac:dyDescent="0.25">
      <c r="A581" s="1">
        <f t="shared" si="14"/>
        <v>0</v>
      </c>
      <c r="B581" s="1" t="s">
        <v>33</v>
      </c>
      <c r="C581" s="1">
        <v>80</v>
      </c>
      <c r="D581" s="1">
        <v>2</v>
      </c>
    </row>
    <row r="582" spans="1:4" x14ac:dyDescent="0.25">
      <c r="A582" s="1">
        <f t="shared" si="14"/>
        <v>0</v>
      </c>
      <c r="B582" s="1" t="s">
        <v>12</v>
      </c>
      <c r="C582" s="1">
        <v>350</v>
      </c>
      <c r="D582" s="1">
        <v>10</v>
      </c>
    </row>
    <row r="583" spans="1:4" x14ac:dyDescent="0.25">
      <c r="A583" s="1">
        <f t="shared" si="14"/>
        <v>0</v>
      </c>
      <c r="B583" s="1" t="s">
        <v>16</v>
      </c>
      <c r="C583" s="1">
        <v>70.400000000000006</v>
      </c>
      <c r="D583" s="1">
        <v>2</v>
      </c>
    </row>
    <row r="584" spans="1:4" x14ac:dyDescent="0.25">
      <c r="A584" s="1">
        <f t="shared" si="14"/>
        <v>0</v>
      </c>
      <c r="B584" s="1" t="s">
        <v>71</v>
      </c>
      <c r="C584" s="1">
        <v>40</v>
      </c>
      <c r="D584" s="1">
        <v>1</v>
      </c>
    </row>
    <row r="585" spans="1:4" x14ac:dyDescent="0.25">
      <c r="A585" s="1">
        <f t="shared" si="14"/>
        <v>0</v>
      </c>
      <c r="B585" s="1" t="s">
        <v>10</v>
      </c>
      <c r="C585" s="1">
        <v>76.8</v>
      </c>
      <c r="D585" s="1">
        <v>2</v>
      </c>
    </row>
    <row r="586" spans="1:4" x14ac:dyDescent="0.25">
      <c r="A586" s="1">
        <f t="shared" si="14"/>
        <v>0</v>
      </c>
      <c r="B586" s="1" t="s">
        <v>57</v>
      </c>
      <c r="C586" s="1">
        <v>120</v>
      </c>
      <c r="D586" s="1">
        <v>3</v>
      </c>
    </row>
    <row r="587" spans="1:4" x14ac:dyDescent="0.25">
      <c r="A587" s="1">
        <f t="shared" si="14"/>
        <v>0</v>
      </c>
      <c r="B587" s="1" t="s">
        <v>56</v>
      </c>
      <c r="C587" s="1">
        <v>76.8</v>
      </c>
      <c r="D587" s="1">
        <v>2</v>
      </c>
    </row>
    <row r="588" spans="1:4" x14ac:dyDescent="0.25">
      <c r="A588" s="1">
        <f t="shared" si="14"/>
        <v>0</v>
      </c>
      <c r="B588" s="1" t="s">
        <v>49</v>
      </c>
      <c r="C588" s="1">
        <v>120</v>
      </c>
      <c r="D588" s="1">
        <v>3</v>
      </c>
    </row>
    <row r="589" spans="1:4" x14ac:dyDescent="0.25">
      <c r="A589" s="1">
        <f t="shared" si="14"/>
        <v>0</v>
      </c>
      <c r="B589" s="1" t="s">
        <v>54</v>
      </c>
      <c r="C589" s="1">
        <v>76.8</v>
      </c>
      <c r="D589" s="1">
        <v>2</v>
      </c>
    </row>
    <row r="590" spans="1:4" x14ac:dyDescent="0.25">
      <c r="A590" s="1">
        <f t="shared" si="14"/>
        <v>0</v>
      </c>
      <c r="B590" s="1" t="s">
        <v>36</v>
      </c>
      <c r="C590" s="1">
        <v>34.56</v>
      </c>
      <c r="D590" s="1">
        <v>1</v>
      </c>
    </row>
    <row r="591" spans="1:4" x14ac:dyDescent="0.25">
      <c r="A591" s="1">
        <f t="shared" si="14"/>
        <v>0</v>
      </c>
      <c r="B591" s="1" t="s">
        <v>67</v>
      </c>
      <c r="C591" s="1">
        <v>49.95</v>
      </c>
      <c r="D591" s="1">
        <v>1</v>
      </c>
    </row>
    <row r="592" spans="1:4" x14ac:dyDescent="0.25">
      <c r="A592" s="1">
        <f t="shared" si="14"/>
        <v>0</v>
      </c>
      <c r="B592" s="1" t="s">
        <v>6</v>
      </c>
      <c r="C592" s="1">
        <v>54.8</v>
      </c>
      <c r="D592" s="1">
        <v>1</v>
      </c>
    </row>
    <row r="593" spans="1:4" x14ac:dyDescent="0.25">
      <c r="A593" s="1">
        <f t="shared" si="14"/>
        <v>0</v>
      </c>
      <c r="B593" s="1" t="s">
        <v>41</v>
      </c>
      <c r="C593" s="1">
        <v>28.75</v>
      </c>
      <c r="D593" s="1">
        <v>1</v>
      </c>
    </row>
    <row r="594" spans="1:4" x14ac:dyDescent="0.25">
      <c r="A594" s="1">
        <f t="shared" si="14"/>
        <v>0</v>
      </c>
      <c r="B594" s="1" t="s">
        <v>69</v>
      </c>
      <c r="C594" s="1">
        <v>64</v>
      </c>
      <c r="D594" s="1">
        <v>1</v>
      </c>
    </row>
    <row r="595" spans="1:4" x14ac:dyDescent="0.25">
      <c r="A595" s="1">
        <f t="shared" si="14"/>
        <v>0</v>
      </c>
      <c r="B595" s="1" t="s">
        <v>44</v>
      </c>
      <c r="C595" s="1">
        <v>38.4</v>
      </c>
      <c r="D595" s="1">
        <v>1</v>
      </c>
    </row>
    <row r="596" spans="1:4" x14ac:dyDescent="0.25">
      <c r="A596" s="1">
        <f t="shared" si="14"/>
        <v>0</v>
      </c>
      <c r="B596" s="1" t="s">
        <v>52</v>
      </c>
      <c r="C596" s="1">
        <v>64</v>
      </c>
      <c r="D596" s="1">
        <v>1</v>
      </c>
    </row>
    <row r="597" spans="1:4" x14ac:dyDescent="0.25">
      <c r="A597" s="1">
        <f t="shared" si="14"/>
        <v>0</v>
      </c>
      <c r="B597" s="1" t="s">
        <v>68</v>
      </c>
      <c r="C597" s="1">
        <v>28.75</v>
      </c>
      <c r="D597" s="1">
        <v>1</v>
      </c>
    </row>
    <row r="598" spans="1:4" x14ac:dyDescent="0.25">
      <c r="A598" s="1">
        <f t="shared" si="14"/>
        <v>0</v>
      </c>
      <c r="B598" s="1" t="s">
        <v>62</v>
      </c>
      <c r="C598" s="1">
        <v>38.4</v>
      </c>
      <c r="D598" s="1">
        <v>1</v>
      </c>
    </row>
    <row r="599" spans="1:4" x14ac:dyDescent="0.25">
      <c r="A599" s="1">
        <f t="shared" si="14"/>
        <v>599</v>
      </c>
      <c r="B599" s="1" t="s">
        <v>89</v>
      </c>
    </row>
    <row r="600" spans="1:4" x14ac:dyDescent="0.25">
      <c r="A600" s="1">
        <f t="shared" si="14"/>
        <v>0</v>
      </c>
      <c r="B600" s="1" t="s">
        <v>1</v>
      </c>
      <c r="C600" s="1">
        <v>29</v>
      </c>
    </row>
    <row r="601" spans="1:4" x14ac:dyDescent="0.25">
      <c r="A601" s="1">
        <f t="shared" si="14"/>
        <v>0</v>
      </c>
      <c r="B601" s="1" t="s">
        <v>2</v>
      </c>
      <c r="C601" s="1">
        <v>1175.8</v>
      </c>
    </row>
    <row r="602" spans="1:4" x14ac:dyDescent="0.25">
      <c r="A602" s="1">
        <f t="shared" si="14"/>
        <v>0</v>
      </c>
      <c r="B602" s="1" t="s">
        <v>3</v>
      </c>
      <c r="C602" s="1" t="s">
        <v>4</v>
      </c>
      <c r="D602" s="1" t="s">
        <v>5</v>
      </c>
    </row>
    <row r="603" spans="1:4" x14ac:dyDescent="0.25">
      <c r="A603" s="1">
        <f t="shared" si="14"/>
        <v>0</v>
      </c>
      <c r="B603" s="1" t="s">
        <v>8</v>
      </c>
      <c r="C603" s="1">
        <v>219.2</v>
      </c>
      <c r="D603" s="1">
        <v>5</v>
      </c>
    </row>
    <row r="604" spans="1:4" x14ac:dyDescent="0.25">
      <c r="A604" s="1">
        <f t="shared" si="14"/>
        <v>0</v>
      </c>
      <c r="B604" s="1" t="s">
        <v>21</v>
      </c>
      <c r="C604" s="1">
        <v>164.4</v>
      </c>
      <c r="D604" s="1">
        <v>3</v>
      </c>
    </row>
    <row r="605" spans="1:4" x14ac:dyDescent="0.25">
      <c r="A605" s="1">
        <f t="shared" si="14"/>
        <v>0</v>
      </c>
      <c r="B605" s="1" t="s">
        <v>26</v>
      </c>
      <c r="C605" s="1">
        <v>37.5</v>
      </c>
      <c r="D605" s="1">
        <v>1</v>
      </c>
    </row>
    <row r="606" spans="1:4" x14ac:dyDescent="0.25">
      <c r="A606" s="1">
        <f t="shared" si="14"/>
        <v>0</v>
      </c>
      <c r="B606" s="1" t="s">
        <v>16</v>
      </c>
      <c r="C606" s="1">
        <v>70.400000000000006</v>
      </c>
      <c r="D606" s="1">
        <v>2</v>
      </c>
    </row>
    <row r="607" spans="1:4" x14ac:dyDescent="0.25">
      <c r="A607" s="1">
        <f t="shared" si="14"/>
        <v>0</v>
      </c>
      <c r="B607" s="1" t="s">
        <v>40</v>
      </c>
      <c r="C607" s="1">
        <v>54.8</v>
      </c>
      <c r="D607" s="1">
        <v>1</v>
      </c>
    </row>
    <row r="608" spans="1:4" x14ac:dyDescent="0.25">
      <c r="A608" s="1">
        <f t="shared" si="14"/>
        <v>0</v>
      </c>
      <c r="B608" s="1" t="s">
        <v>53</v>
      </c>
      <c r="C608" s="1">
        <v>86.25</v>
      </c>
      <c r="D608" s="1">
        <v>3</v>
      </c>
    </row>
    <row r="609" spans="1:4" x14ac:dyDescent="0.25">
      <c r="A609" s="1">
        <f t="shared" si="14"/>
        <v>0</v>
      </c>
      <c r="B609" s="1" t="s">
        <v>18</v>
      </c>
      <c r="C609" s="1">
        <v>115.2</v>
      </c>
      <c r="D609" s="1">
        <v>3</v>
      </c>
    </row>
    <row r="610" spans="1:4" x14ac:dyDescent="0.25">
      <c r="A610" s="1">
        <f t="shared" si="14"/>
        <v>0</v>
      </c>
      <c r="B610" s="1" t="s">
        <v>33</v>
      </c>
      <c r="C610" s="1">
        <v>40</v>
      </c>
      <c r="D610" s="1">
        <v>1</v>
      </c>
    </row>
    <row r="611" spans="1:4" x14ac:dyDescent="0.25">
      <c r="A611" s="1">
        <f t="shared" si="14"/>
        <v>0</v>
      </c>
      <c r="B611" s="1" t="s">
        <v>17</v>
      </c>
      <c r="C611" s="1">
        <v>38.4</v>
      </c>
      <c r="D611" s="1">
        <v>1</v>
      </c>
    </row>
    <row r="612" spans="1:4" x14ac:dyDescent="0.25">
      <c r="A612" s="1">
        <f t="shared" si="14"/>
        <v>0</v>
      </c>
      <c r="B612" s="1" t="s">
        <v>20</v>
      </c>
      <c r="C612" s="1">
        <v>115.2</v>
      </c>
      <c r="D612" s="1">
        <v>3</v>
      </c>
    </row>
    <row r="613" spans="1:4" x14ac:dyDescent="0.25">
      <c r="A613" s="1">
        <f t="shared" si="14"/>
        <v>0</v>
      </c>
      <c r="B613" s="1" t="s">
        <v>50</v>
      </c>
      <c r="C613" s="1">
        <v>42.5</v>
      </c>
      <c r="D613" s="1">
        <v>1</v>
      </c>
    </row>
    <row r="614" spans="1:4" x14ac:dyDescent="0.25">
      <c r="A614" s="1">
        <f t="shared" si="14"/>
        <v>0</v>
      </c>
      <c r="B614" s="1" t="s">
        <v>12</v>
      </c>
      <c r="C614" s="1">
        <v>70</v>
      </c>
      <c r="D614" s="1">
        <v>2</v>
      </c>
    </row>
    <row r="615" spans="1:4" x14ac:dyDescent="0.25">
      <c r="A615" s="1">
        <f t="shared" si="14"/>
        <v>0</v>
      </c>
      <c r="B615" s="1" t="s">
        <v>9</v>
      </c>
      <c r="C615" s="1">
        <v>54.8</v>
      </c>
      <c r="D615" s="1">
        <v>1</v>
      </c>
    </row>
    <row r="616" spans="1:4" x14ac:dyDescent="0.25">
      <c r="A616" s="1">
        <f t="shared" si="14"/>
        <v>0</v>
      </c>
      <c r="B616" s="1" t="s">
        <v>41</v>
      </c>
      <c r="C616" s="1">
        <v>28.75</v>
      </c>
      <c r="D616" s="1">
        <v>1</v>
      </c>
    </row>
    <row r="617" spans="1:4" x14ac:dyDescent="0.25">
      <c r="A617" s="1">
        <f t="shared" si="14"/>
        <v>0</v>
      </c>
      <c r="B617" s="1" t="s">
        <v>13</v>
      </c>
      <c r="C617" s="1">
        <v>38.4</v>
      </c>
      <c r="D617" s="1">
        <v>1</v>
      </c>
    </row>
    <row r="618" spans="1:4" x14ac:dyDescent="0.25">
      <c r="A618" s="1">
        <f t="shared" si="14"/>
        <v>618</v>
      </c>
      <c r="B618" s="1" t="s">
        <v>90</v>
      </c>
    </row>
    <row r="619" spans="1:4" x14ac:dyDescent="0.25">
      <c r="A619" s="1">
        <f t="shared" si="14"/>
        <v>0</v>
      </c>
      <c r="B619" s="1" t="s">
        <v>1</v>
      </c>
      <c r="C619" s="1">
        <v>32</v>
      </c>
    </row>
    <row r="620" spans="1:4" x14ac:dyDescent="0.25">
      <c r="A620" s="1">
        <f t="shared" si="14"/>
        <v>0</v>
      </c>
      <c r="B620" s="1" t="s">
        <v>2</v>
      </c>
      <c r="C620" s="1">
        <v>1273.8900000000001</v>
      </c>
    </row>
    <row r="621" spans="1:4" x14ac:dyDescent="0.25">
      <c r="A621" s="1">
        <f t="shared" si="14"/>
        <v>0</v>
      </c>
      <c r="B621" s="1" t="s">
        <v>3</v>
      </c>
      <c r="C621" s="1" t="s">
        <v>4</v>
      </c>
      <c r="D621" s="1" t="s">
        <v>5</v>
      </c>
    </row>
    <row r="622" spans="1:4" x14ac:dyDescent="0.25">
      <c r="A622" s="1">
        <f t="shared" si="14"/>
        <v>0</v>
      </c>
      <c r="B622" s="1" t="s">
        <v>21</v>
      </c>
      <c r="C622" s="1">
        <v>219.2</v>
      </c>
      <c r="D622" s="1">
        <v>4</v>
      </c>
    </row>
    <row r="623" spans="1:4" x14ac:dyDescent="0.25">
      <c r="A623" s="1">
        <f t="shared" si="14"/>
        <v>0</v>
      </c>
      <c r="B623" s="1" t="s">
        <v>7</v>
      </c>
      <c r="C623" s="1">
        <v>109.6</v>
      </c>
      <c r="D623" s="1">
        <v>2</v>
      </c>
    </row>
    <row r="624" spans="1:4" x14ac:dyDescent="0.25">
      <c r="A624" s="1">
        <f t="shared" si="14"/>
        <v>0</v>
      </c>
      <c r="B624" s="1" t="s">
        <v>12</v>
      </c>
      <c r="C624" s="1">
        <v>140</v>
      </c>
      <c r="D624" s="1">
        <v>4</v>
      </c>
    </row>
    <row r="625" spans="1:4" x14ac:dyDescent="0.25">
      <c r="A625" s="1">
        <f t="shared" si="14"/>
        <v>0</v>
      </c>
      <c r="B625" s="1" t="s">
        <v>17</v>
      </c>
      <c r="C625" s="1">
        <v>115.2</v>
      </c>
      <c r="D625" s="1">
        <v>3</v>
      </c>
    </row>
    <row r="626" spans="1:4" x14ac:dyDescent="0.25">
      <c r="A626" s="1">
        <f t="shared" si="14"/>
        <v>0</v>
      </c>
      <c r="B626" s="1" t="s">
        <v>20</v>
      </c>
      <c r="C626" s="1">
        <v>115.2</v>
      </c>
      <c r="D626" s="1">
        <v>3</v>
      </c>
    </row>
    <row r="627" spans="1:4" x14ac:dyDescent="0.25">
      <c r="A627" s="1">
        <f t="shared" si="14"/>
        <v>0</v>
      </c>
      <c r="B627" s="1" t="s">
        <v>40</v>
      </c>
      <c r="C627" s="1">
        <v>219.2</v>
      </c>
      <c r="D627" s="1">
        <v>4</v>
      </c>
    </row>
    <row r="628" spans="1:4" x14ac:dyDescent="0.25">
      <c r="A628" s="1">
        <f t="shared" si="14"/>
        <v>0</v>
      </c>
      <c r="B628" s="1" t="s">
        <v>18</v>
      </c>
      <c r="C628" s="1">
        <v>115.2</v>
      </c>
      <c r="D628" s="1">
        <v>4</v>
      </c>
    </row>
    <row r="629" spans="1:4" x14ac:dyDescent="0.25">
      <c r="A629" s="1">
        <f t="shared" si="14"/>
        <v>0</v>
      </c>
      <c r="B629" s="1" t="s">
        <v>54</v>
      </c>
      <c r="C629" s="1">
        <v>38.4</v>
      </c>
      <c r="D629" s="1">
        <v>1</v>
      </c>
    </row>
    <row r="630" spans="1:4" x14ac:dyDescent="0.25">
      <c r="A630" s="1">
        <f t="shared" si="14"/>
        <v>0</v>
      </c>
      <c r="B630" s="1" t="s">
        <v>19</v>
      </c>
      <c r="C630" s="1">
        <v>28.75</v>
      </c>
      <c r="D630" s="1">
        <v>1</v>
      </c>
    </row>
    <row r="631" spans="1:4" x14ac:dyDescent="0.25">
      <c r="A631" s="1">
        <f t="shared" si="14"/>
        <v>0</v>
      </c>
      <c r="B631" s="1" t="s">
        <v>56</v>
      </c>
      <c r="C631" s="1">
        <v>38.4</v>
      </c>
      <c r="D631" s="1">
        <v>1</v>
      </c>
    </row>
    <row r="632" spans="1:4" x14ac:dyDescent="0.25">
      <c r="A632" s="1">
        <f t="shared" si="14"/>
        <v>0</v>
      </c>
      <c r="B632" s="1" t="s">
        <v>8</v>
      </c>
      <c r="C632" s="1">
        <v>54.8</v>
      </c>
      <c r="D632" s="1">
        <v>1</v>
      </c>
    </row>
    <row r="633" spans="1:4" x14ac:dyDescent="0.25">
      <c r="A633" s="1">
        <f t="shared" si="14"/>
        <v>0</v>
      </c>
      <c r="B633" s="1" t="s">
        <v>16</v>
      </c>
      <c r="C633" s="1">
        <v>35.200000000000003</v>
      </c>
      <c r="D633" s="1">
        <v>1</v>
      </c>
    </row>
    <row r="634" spans="1:4" x14ac:dyDescent="0.25">
      <c r="A634" s="1">
        <f t="shared" si="14"/>
        <v>0</v>
      </c>
      <c r="B634" s="1" t="s">
        <v>30</v>
      </c>
      <c r="C634" s="1">
        <v>15.99</v>
      </c>
      <c r="D634" s="1">
        <v>2</v>
      </c>
    </row>
    <row r="635" spans="1:4" x14ac:dyDescent="0.25">
      <c r="A635" s="1">
        <f t="shared" si="14"/>
        <v>0</v>
      </c>
      <c r="B635" s="1" t="s">
        <v>41</v>
      </c>
      <c r="C635" s="1">
        <v>28.75</v>
      </c>
      <c r="D635" s="1">
        <v>1</v>
      </c>
    </row>
    <row r="636" spans="1:4" x14ac:dyDescent="0.25">
      <c r="A636" s="1">
        <f t="shared" si="14"/>
        <v>636</v>
      </c>
      <c r="B636" s="1" t="s">
        <v>91</v>
      </c>
    </row>
    <row r="637" spans="1:4" x14ac:dyDescent="0.25">
      <c r="A637" s="1">
        <f t="shared" si="14"/>
        <v>0</v>
      </c>
      <c r="B637" s="1" t="s">
        <v>1</v>
      </c>
      <c r="C637" s="1">
        <v>39</v>
      </c>
    </row>
    <row r="638" spans="1:4" x14ac:dyDescent="0.25">
      <c r="A638" s="1">
        <f t="shared" si="14"/>
        <v>0</v>
      </c>
      <c r="B638" s="1" t="s">
        <v>2</v>
      </c>
      <c r="C638" s="1">
        <v>1656.2</v>
      </c>
    </row>
    <row r="639" spans="1:4" x14ac:dyDescent="0.25">
      <c r="A639" s="1">
        <f t="shared" si="14"/>
        <v>0</v>
      </c>
      <c r="B639" s="1" t="s">
        <v>3</v>
      </c>
      <c r="C639" s="1" t="s">
        <v>4</v>
      </c>
      <c r="D639" s="1" t="s">
        <v>5</v>
      </c>
    </row>
    <row r="640" spans="1:4" x14ac:dyDescent="0.25">
      <c r="A640" s="1">
        <f t="shared" si="14"/>
        <v>0</v>
      </c>
      <c r="B640" s="1" t="s">
        <v>19</v>
      </c>
      <c r="C640" s="1">
        <v>28.75</v>
      </c>
      <c r="D640" s="1">
        <v>1</v>
      </c>
    </row>
    <row r="641" spans="1:4" x14ac:dyDescent="0.25">
      <c r="A641" s="1">
        <f t="shared" si="14"/>
        <v>0</v>
      </c>
      <c r="B641" s="1" t="s">
        <v>8</v>
      </c>
      <c r="C641" s="1">
        <v>493.2</v>
      </c>
      <c r="D641" s="1">
        <v>11</v>
      </c>
    </row>
    <row r="642" spans="1:4" x14ac:dyDescent="0.25">
      <c r="A642" s="1">
        <f t="shared" ref="A642:A705" si="15">IF(COUNTIF($V$3:$Y$99, $B642)&lt;&gt;0, ROW($B642), 0)</f>
        <v>0</v>
      </c>
      <c r="B642" s="1" t="s">
        <v>20</v>
      </c>
      <c r="C642" s="1">
        <v>192</v>
      </c>
      <c r="D642" s="1">
        <v>5</v>
      </c>
    </row>
    <row r="643" spans="1:4" x14ac:dyDescent="0.25">
      <c r="A643" s="1">
        <f t="shared" si="15"/>
        <v>0</v>
      </c>
      <c r="B643" s="1" t="s">
        <v>57</v>
      </c>
      <c r="C643" s="1">
        <v>40</v>
      </c>
      <c r="D643" s="1">
        <v>1</v>
      </c>
    </row>
    <row r="644" spans="1:4" x14ac:dyDescent="0.25">
      <c r="A644" s="1">
        <f t="shared" si="15"/>
        <v>0</v>
      </c>
      <c r="B644" s="1" t="s">
        <v>21</v>
      </c>
      <c r="C644" s="1">
        <v>109.6</v>
      </c>
      <c r="D644" s="1">
        <v>2</v>
      </c>
    </row>
    <row r="645" spans="1:4" x14ac:dyDescent="0.25">
      <c r="A645" s="1">
        <f t="shared" si="15"/>
        <v>0</v>
      </c>
      <c r="B645" s="1" t="s">
        <v>49</v>
      </c>
      <c r="C645" s="1">
        <v>40</v>
      </c>
      <c r="D645" s="1">
        <v>1</v>
      </c>
    </row>
    <row r="646" spans="1:4" x14ac:dyDescent="0.25">
      <c r="A646" s="1">
        <f t="shared" si="15"/>
        <v>0</v>
      </c>
      <c r="B646" s="1" t="s">
        <v>12</v>
      </c>
      <c r="C646" s="1">
        <v>140</v>
      </c>
      <c r="D646" s="1">
        <v>4</v>
      </c>
    </row>
    <row r="647" spans="1:4" x14ac:dyDescent="0.25">
      <c r="A647" s="1">
        <f t="shared" si="15"/>
        <v>0</v>
      </c>
      <c r="B647" s="1" t="s">
        <v>7</v>
      </c>
      <c r="C647" s="1">
        <v>54.8</v>
      </c>
      <c r="D647" s="1">
        <v>1</v>
      </c>
    </row>
    <row r="648" spans="1:4" x14ac:dyDescent="0.25">
      <c r="A648" s="1">
        <f t="shared" si="15"/>
        <v>0</v>
      </c>
      <c r="B648" s="1" t="s">
        <v>26</v>
      </c>
      <c r="C648" s="1">
        <v>37.5</v>
      </c>
      <c r="D648" s="1">
        <v>1</v>
      </c>
    </row>
    <row r="649" spans="1:4" x14ac:dyDescent="0.25">
      <c r="A649" s="1">
        <f t="shared" si="15"/>
        <v>0</v>
      </c>
      <c r="B649" s="1" t="s">
        <v>16</v>
      </c>
      <c r="C649" s="1">
        <v>70.400000000000006</v>
      </c>
      <c r="D649" s="1">
        <v>2</v>
      </c>
    </row>
    <row r="650" spans="1:4" x14ac:dyDescent="0.25">
      <c r="A650" s="1">
        <f t="shared" si="15"/>
        <v>0</v>
      </c>
      <c r="B650" s="1" t="s">
        <v>51</v>
      </c>
      <c r="C650" s="1">
        <v>38.4</v>
      </c>
      <c r="D650" s="1">
        <v>1</v>
      </c>
    </row>
    <row r="651" spans="1:4" x14ac:dyDescent="0.25">
      <c r="A651" s="1">
        <f t="shared" si="15"/>
        <v>0</v>
      </c>
      <c r="B651" s="1" t="s">
        <v>18</v>
      </c>
      <c r="C651" s="1">
        <v>76.8</v>
      </c>
      <c r="D651" s="1">
        <v>2</v>
      </c>
    </row>
    <row r="652" spans="1:4" x14ac:dyDescent="0.25">
      <c r="A652" s="1">
        <f t="shared" si="15"/>
        <v>0</v>
      </c>
      <c r="B652" s="1" t="s">
        <v>13</v>
      </c>
      <c r="C652" s="1">
        <v>76.8</v>
      </c>
      <c r="D652" s="1">
        <v>2</v>
      </c>
    </row>
    <row r="653" spans="1:4" x14ac:dyDescent="0.25">
      <c r="A653" s="1">
        <f t="shared" si="15"/>
        <v>0</v>
      </c>
      <c r="B653" s="1" t="s">
        <v>6</v>
      </c>
      <c r="C653" s="1">
        <v>54.8</v>
      </c>
      <c r="D653" s="1">
        <v>1</v>
      </c>
    </row>
    <row r="654" spans="1:4" x14ac:dyDescent="0.25">
      <c r="A654" s="1">
        <f t="shared" si="15"/>
        <v>0</v>
      </c>
      <c r="B654" s="1" t="s">
        <v>15</v>
      </c>
      <c r="C654" s="1">
        <v>136</v>
      </c>
      <c r="D654" s="1">
        <v>2</v>
      </c>
    </row>
    <row r="655" spans="1:4" x14ac:dyDescent="0.25">
      <c r="A655" s="1">
        <f t="shared" si="15"/>
        <v>0</v>
      </c>
      <c r="B655" s="1" t="s">
        <v>68</v>
      </c>
      <c r="C655" s="1">
        <v>28.75</v>
      </c>
      <c r="D655" s="1">
        <v>1</v>
      </c>
    </row>
    <row r="656" spans="1:4" x14ac:dyDescent="0.25">
      <c r="A656" s="1">
        <f t="shared" si="15"/>
        <v>0</v>
      </c>
      <c r="B656" s="1" t="s">
        <v>27</v>
      </c>
      <c r="C656" s="1">
        <v>38.4</v>
      </c>
      <c r="D656" s="1">
        <v>1</v>
      </c>
    </row>
    <row r="657" spans="1:4" x14ac:dyDescent="0.25">
      <c r="A657" s="1">
        <f t="shared" si="15"/>
        <v>657</v>
      </c>
      <c r="B657" s="1" t="s">
        <v>92</v>
      </c>
    </row>
    <row r="658" spans="1:4" x14ac:dyDescent="0.25">
      <c r="A658" s="1">
        <f t="shared" si="15"/>
        <v>0</v>
      </c>
      <c r="B658" s="1" t="s">
        <v>1</v>
      </c>
      <c r="C658" s="1">
        <v>64</v>
      </c>
    </row>
    <row r="659" spans="1:4" x14ac:dyDescent="0.25">
      <c r="A659" s="1">
        <f t="shared" si="15"/>
        <v>0</v>
      </c>
      <c r="B659" s="1" t="s">
        <v>2</v>
      </c>
      <c r="C659" s="1">
        <v>3472.05</v>
      </c>
    </row>
    <row r="660" spans="1:4" x14ac:dyDescent="0.25">
      <c r="A660" s="1">
        <f t="shared" si="15"/>
        <v>0</v>
      </c>
      <c r="B660" s="1" t="s">
        <v>3</v>
      </c>
      <c r="C660" s="1" t="s">
        <v>4</v>
      </c>
      <c r="D660" s="1" t="s">
        <v>5</v>
      </c>
    </row>
    <row r="661" spans="1:4" x14ac:dyDescent="0.25">
      <c r="A661" s="1">
        <f t="shared" si="15"/>
        <v>0</v>
      </c>
      <c r="B661" s="1" t="s">
        <v>15</v>
      </c>
      <c r="C661" s="1">
        <v>2244</v>
      </c>
      <c r="D661" s="1">
        <v>33</v>
      </c>
    </row>
    <row r="662" spans="1:4" x14ac:dyDescent="0.25">
      <c r="A662" s="1">
        <f t="shared" si="15"/>
        <v>0</v>
      </c>
      <c r="B662" s="1" t="s">
        <v>40</v>
      </c>
      <c r="C662" s="1">
        <v>219.2</v>
      </c>
      <c r="D662" s="1">
        <v>4</v>
      </c>
    </row>
    <row r="663" spans="1:4" x14ac:dyDescent="0.25">
      <c r="A663" s="1">
        <f t="shared" si="15"/>
        <v>0</v>
      </c>
      <c r="B663" s="1" t="s">
        <v>20</v>
      </c>
      <c r="C663" s="1">
        <v>153.6</v>
      </c>
      <c r="D663" s="1">
        <v>4</v>
      </c>
    </row>
    <row r="664" spans="1:4" x14ac:dyDescent="0.25">
      <c r="A664" s="1">
        <f t="shared" si="15"/>
        <v>0</v>
      </c>
      <c r="B664" s="1" t="s">
        <v>33</v>
      </c>
      <c r="C664" s="1">
        <v>40</v>
      </c>
      <c r="D664" s="1">
        <v>1</v>
      </c>
    </row>
    <row r="665" spans="1:4" x14ac:dyDescent="0.25">
      <c r="A665" s="1">
        <f t="shared" si="15"/>
        <v>0</v>
      </c>
      <c r="B665" s="1" t="s">
        <v>7</v>
      </c>
      <c r="C665" s="1">
        <v>54.8</v>
      </c>
      <c r="D665" s="1">
        <v>1</v>
      </c>
    </row>
    <row r="666" spans="1:4" x14ac:dyDescent="0.25">
      <c r="A666" s="1">
        <f t="shared" si="15"/>
        <v>0</v>
      </c>
      <c r="B666" s="1" t="s">
        <v>18</v>
      </c>
      <c r="C666" s="1">
        <v>153.6</v>
      </c>
      <c r="D666" s="1">
        <v>4</v>
      </c>
    </row>
    <row r="667" spans="1:4" x14ac:dyDescent="0.25">
      <c r="A667" s="1">
        <f t="shared" si="15"/>
        <v>0</v>
      </c>
      <c r="B667" s="1" t="s">
        <v>16</v>
      </c>
      <c r="C667" s="1">
        <v>140.80000000000001</v>
      </c>
      <c r="D667" s="1">
        <v>5</v>
      </c>
    </row>
    <row r="668" spans="1:4" x14ac:dyDescent="0.25">
      <c r="A668" s="1">
        <f t="shared" si="15"/>
        <v>0</v>
      </c>
      <c r="B668" s="1" t="s">
        <v>57</v>
      </c>
      <c r="C668" s="1">
        <v>80</v>
      </c>
      <c r="D668" s="1">
        <v>2</v>
      </c>
    </row>
    <row r="669" spans="1:4" x14ac:dyDescent="0.25">
      <c r="A669" s="1">
        <f t="shared" si="15"/>
        <v>0</v>
      </c>
      <c r="B669" s="1" t="s">
        <v>19</v>
      </c>
      <c r="C669" s="1">
        <v>28.75</v>
      </c>
      <c r="D669" s="1">
        <v>1</v>
      </c>
    </row>
    <row r="670" spans="1:4" x14ac:dyDescent="0.25">
      <c r="A670" s="1">
        <f t="shared" si="15"/>
        <v>0</v>
      </c>
      <c r="B670" s="1" t="s">
        <v>8</v>
      </c>
      <c r="C670" s="1">
        <v>109.6</v>
      </c>
      <c r="D670" s="1">
        <v>2</v>
      </c>
    </row>
    <row r="671" spans="1:4" x14ac:dyDescent="0.25">
      <c r="A671" s="1">
        <f t="shared" si="15"/>
        <v>0</v>
      </c>
      <c r="B671" s="1" t="s">
        <v>12</v>
      </c>
      <c r="C671" s="1">
        <v>35</v>
      </c>
      <c r="D671" s="1">
        <v>1</v>
      </c>
    </row>
    <row r="672" spans="1:4" x14ac:dyDescent="0.25">
      <c r="A672" s="1">
        <f t="shared" si="15"/>
        <v>0</v>
      </c>
      <c r="B672" s="1" t="s">
        <v>49</v>
      </c>
      <c r="C672" s="1">
        <v>40</v>
      </c>
      <c r="D672" s="1">
        <v>1</v>
      </c>
    </row>
    <row r="673" spans="1:4" x14ac:dyDescent="0.25">
      <c r="A673" s="1">
        <f t="shared" si="15"/>
        <v>0</v>
      </c>
      <c r="B673" s="1" t="s">
        <v>17</v>
      </c>
      <c r="C673" s="1">
        <v>76.8</v>
      </c>
      <c r="D673" s="1">
        <v>2</v>
      </c>
    </row>
    <row r="674" spans="1:4" x14ac:dyDescent="0.25">
      <c r="A674" s="1">
        <f t="shared" si="15"/>
        <v>0</v>
      </c>
      <c r="B674" s="1" t="s">
        <v>27</v>
      </c>
      <c r="C674" s="1">
        <v>38.4</v>
      </c>
      <c r="D674" s="1">
        <v>1</v>
      </c>
    </row>
    <row r="675" spans="1:4" x14ac:dyDescent="0.25">
      <c r="A675" s="1">
        <f t="shared" si="15"/>
        <v>0</v>
      </c>
      <c r="B675" s="1" t="s">
        <v>41</v>
      </c>
      <c r="C675" s="1">
        <v>57.5</v>
      </c>
      <c r="D675" s="1">
        <v>2</v>
      </c>
    </row>
    <row r="676" spans="1:4" x14ac:dyDescent="0.25">
      <c r="A676" s="1">
        <f t="shared" si="15"/>
        <v>676</v>
      </c>
      <c r="B676" s="1" t="s">
        <v>93</v>
      </c>
    </row>
    <row r="677" spans="1:4" x14ac:dyDescent="0.25">
      <c r="A677" s="1">
        <f t="shared" si="15"/>
        <v>0</v>
      </c>
      <c r="B677" s="1" t="s">
        <v>1</v>
      </c>
      <c r="C677" s="1">
        <v>173</v>
      </c>
    </row>
    <row r="678" spans="1:4" x14ac:dyDescent="0.25">
      <c r="A678" s="1">
        <f t="shared" si="15"/>
        <v>0</v>
      </c>
      <c r="B678" s="1" t="s">
        <v>2</v>
      </c>
      <c r="C678" s="1">
        <v>6673.38</v>
      </c>
    </row>
    <row r="679" spans="1:4" x14ac:dyDescent="0.25">
      <c r="A679" s="1">
        <f t="shared" si="15"/>
        <v>0</v>
      </c>
      <c r="B679" s="1" t="s">
        <v>3</v>
      </c>
      <c r="C679" s="1" t="s">
        <v>4</v>
      </c>
      <c r="D679" s="1" t="s">
        <v>5</v>
      </c>
    </row>
    <row r="680" spans="1:4" x14ac:dyDescent="0.25">
      <c r="A680" s="1">
        <f t="shared" si="15"/>
        <v>0</v>
      </c>
      <c r="B680" s="1" t="s">
        <v>51</v>
      </c>
      <c r="C680" s="1">
        <v>115.2</v>
      </c>
      <c r="D680" s="1">
        <v>3</v>
      </c>
    </row>
    <row r="681" spans="1:4" x14ac:dyDescent="0.25">
      <c r="A681" s="1">
        <f t="shared" si="15"/>
        <v>0</v>
      </c>
      <c r="B681" s="1" t="s">
        <v>22</v>
      </c>
      <c r="C681" s="1">
        <v>109.6</v>
      </c>
      <c r="D681" s="1">
        <v>2</v>
      </c>
    </row>
    <row r="682" spans="1:4" x14ac:dyDescent="0.25">
      <c r="A682" s="1">
        <f t="shared" si="15"/>
        <v>0</v>
      </c>
      <c r="B682" s="1" t="s">
        <v>8</v>
      </c>
      <c r="C682" s="1">
        <v>274</v>
      </c>
      <c r="D682" s="1">
        <v>5</v>
      </c>
    </row>
    <row r="683" spans="1:4" x14ac:dyDescent="0.25">
      <c r="A683" s="1">
        <f t="shared" si="15"/>
        <v>0</v>
      </c>
      <c r="B683" s="1" t="s">
        <v>17</v>
      </c>
      <c r="C683" s="1">
        <v>998.4</v>
      </c>
      <c r="D683" s="1">
        <v>28</v>
      </c>
    </row>
    <row r="684" spans="1:4" x14ac:dyDescent="0.25">
      <c r="A684" s="1">
        <f t="shared" si="15"/>
        <v>0</v>
      </c>
      <c r="B684" s="1" t="s">
        <v>20</v>
      </c>
      <c r="C684" s="1">
        <v>307.2</v>
      </c>
      <c r="D684" s="1">
        <v>10</v>
      </c>
    </row>
    <row r="685" spans="1:4" x14ac:dyDescent="0.25">
      <c r="A685" s="1">
        <f t="shared" si="15"/>
        <v>0</v>
      </c>
      <c r="B685" s="1" t="s">
        <v>21</v>
      </c>
      <c r="C685" s="1">
        <v>328.8</v>
      </c>
      <c r="D685" s="1">
        <v>6</v>
      </c>
    </row>
    <row r="686" spans="1:4" x14ac:dyDescent="0.25">
      <c r="A686" s="1">
        <f t="shared" si="15"/>
        <v>0</v>
      </c>
      <c r="B686" s="1" t="s">
        <v>18</v>
      </c>
      <c r="C686" s="1">
        <v>499.2</v>
      </c>
      <c r="D686" s="1">
        <v>13</v>
      </c>
    </row>
    <row r="687" spans="1:4" x14ac:dyDescent="0.25">
      <c r="A687" s="1">
        <f t="shared" si="15"/>
        <v>0</v>
      </c>
      <c r="B687" s="1" t="s">
        <v>7</v>
      </c>
      <c r="C687" s="1">
        <v>219.2</v>
      </c>
      <c r="D687" s="1">
        <v>4</v>
      </c>
    </row>
    <row r="688" spans="1:4" x14ac:dyDescent="0.25">
      <c r="A688" s="1">
        <f t="shared" si="15"/>
        <v>0</v>
      </c>
      <c r="B688" s="1" t="s">
        <v>19</v>
      </c>
      <c r="C688" s="1">
        <v>115</v>
      </c>
      <c r="D688" s="1">
        <v>4</v>
      </c>
    </row>
    <row r="689" spans="1:4" x14ac:dyDescent="0.25">
      <c r="A689" s="1">
        <f t="shared" si="15"/>
        <v>0</v>
      </c>
      <c r="B689" s="1" t="s">
        <v>12</v>
      </c>
      <c r="C689" s="1">
        <v>560</v>
      </c>
      <c r="D689" s="1">
        <v>16</v>
      </c>
    </row>
    <row r="690" spans="1:4" x14ac:dyDescent="0.25">
      <c r="A690" s="1">
        <f t="shared" si="15"/>
        <v>0</v>
      </c>
      <c r="B690" s="1" t="s">
        <v>14</v>
      </c>
      <c r="C690" s="1">
        <v>57.5</v>
      </c>
      <c r="D690" s="1">
        <v>2</v>
      </c>
    </row>
    <row r="691" spans="1:4" x14ac:dyDescent="0.25">
      <c r="A691" s="1">
        <f t="shared" si="15"/>
        <v>0</v>
      </c>
      <c r="B691" s="1" t="s">
        <v>6</v>
      </c>
      <c r="C691" s="1">
        <v>219.2</v>
      </c>
      <c r="D691" s="1">
        <v>6</v>
      </c>
    </row>
    <row r="692" spans="1:4" x14ac:dyDescent="0.25">
      <c r="A692" s="1">
        <f t="shared" si="15"/>
        <v>0</v>
      </c>
      <c r="B692" s="1" t="s">
        <v>40</v>
      </c>
      <c r="C692" s="1">
        <v>383.6</v>
      </c>
      <c r="D692" s="1">
        <v>7</v>
      </c>
    </row>
    <row r="693" spans="1:4" x14ac:dyDescent="0.25">
      <c r="A693" s="1">
        <f t="shared" si="15"/>
        <v>0</v>
      </c>
      <c r="B693" s="1" t="s">
        <v>62</v>
      </c>
      <c r="C693" s="1">
        <v>115.2</v>
      </c>
      <c r="D693" s="1">
        <v>3</v>
      </c>
    </row>
    <row r="694" spans="1:4" x14ac:dyDescent="0.25">
      <c r="A694" s="1">
        <f t="shared" si="15"/>
        <v>0</v>
      </c>
      <c r="B694" s="1" t="s">
        <v>26</v>
      </c>
      <c r="C694" s="1">
        <v>37.5</v>
      </c>
      <c r="D694" s="1">
        <v>1</v>
      </c>
    </row>
    <row r="695" spans="1:4" x14ac:dyDescent="0.25">
      <c r="A695" s="1">
        <f t="shared" si="15"/>
        <v>0</v>
      </c>
      <c r="B695" s="1" t="s">
        <v>49</v>
      </c>
      <c r="C695" s="1">
        <v>120</v>
      </c>
      <c r="D695" s="1">
        <v>3</v>
      </c>
    </row>
    <row r="696" spans="1:4" x14ac:dyDescent="0.25">
      <c r="A696" s="1">
        <f t="shared" si="15"/>
        <v>0</v>
      </c>
      <c r="B696" s="1" t="s">
        <v>16</v>
      </c>
      <c r="C696" s="1">
        <v>105.6</v>
      </c>
      <c r="D696" s="1">
        <v>3</v>
      </c>
    </row>
    <row r="697" spans="1:4" x14ac:dyDescent="0.25">
      <c r="A697" s="1">
        <f t="shared" si="15"/>
        <v>0</v>
      </c>
      <c r="B697" s="1" t="s">
        <v>33</v>
      </c>
      <c r="C697" s="1">
        <v>280</v>
      </c>
      <c r="D697" s="1">
        <v>7</v>
      </c>
    </row>
    <row r="698" spans="1:4" x14ac:dyDescent="0.25">
      <c r="A698" s="1">
        <f t="shared" si="15"/>
        <v>0</v>
      </c>
      <c r="B698" s="1" t="s">
        <v>31</v>
      </c>
      <c r="C698" s="1">
        <v>69.12</v>
      </c>
      <c r="D698" s="1">
        <v>4</v>
      </c>
    </row>
    <row r="699" spans="1:4" x14ac:dyDescent="0.25">
      <c r="A699" s="1">
        <f t="shared" si="15"/>
        <v>0</v>
      </c>
      <c r="B699" s="1" t="s">
        <v>13</v>
      </c>
      <c r="C699" s="1">
        <v>192</v>
      </c>
      <c r="D699" s="1">
        <v>5</v>
      </c>
    </row>
    <row r="700" spans="1:4" x14ac:dyDescent="0.25">
      <c r="A700" s="1">
        <f t="shared" si="15"/>
        <v>0</v>
      </c>
      <c r="B700" s="1" t="s">
        <v>9</v>
      </c>
      <c r="C700" s="1">
        <v>54.8</v>
      </c>
      <c r="D700" s="1">
        <v>1</v>
      </c>
    </row>
    <row r="701" spans="1:4" x14ac:dyDescent="0.25">
      <c r="A701" s="1">
        <f t="shared" si="15"/>
        <v>0</v>
      </c>
      <c r="B701" s="1" t="s">
        <v>47</v>
      </c>
      <c r="C701" s="1">
        <v>64</v>
      </c>
      <c r="D701" s="1">
        <v>1</v>
      </c>
    </row>
    <row r="702" spans="1:4" x14ac:dyDescent="0.25">
      <c r="A702" s="1">
        <f t="shared" si="15"/>
        <v>0</v>
      </c>
      <c r="B702" s="1" t="s">
        <v>53</v>
      </c>
      <c r="C702" s="1">
        <v>28.75</v>
      </c>
      <c r="D702" s="1">
        <v>1</v>
      </c>
    </row>
    <row r="703" spans="1:4" x14ac:dyDescent="0.25">
      <c r="A703" s="1">
        <f t="shared" si="15"/>
        <v>0</v>
      </c>
      <c r="B703" s="1" t="s">
        <v>35</v>
      </c>
      <c r="C703" s="1">
        <v>38.4</v>
      </c>
      <c r="D703" s="1">
        <v>1</v>
      </c>
    </row>
    <row r="704" spans="1:4" x14ac:dyDescent="0.25">
      <c r="A704" s="1">
        <f t="shared" si="15"/>
        <v>0</v>
      </c>
      <c r="B704" s="1" t="s">
        <v>15</v>
      </c>
      <c r="C704" s="1">
        <v>204</v>
      </c>
      <c r="D704" s="1">
        <v>3</v>
      </c>
    </row>
    <row r="705" spans="1:4" x14ac:dyDescent="0.25">
      <c r="A705" s="1">
        <f t="shared" si="15"/>
        <v>0</v>
      </c>
      <c r="B705" s="1" t="s">
        <v>10</v>
      </c>
      <c r="C705" s="1">
        <v>115.2</v>
      </c>
      <c r="D705" s="1">
        <v>3</v>
      </c>
    </row>
    <row r="706" spans="1:4" x14ac:dyDescent="0.25">
      <c r="A706" s="1">
        <f t="shared" ref="A706:A769" si="16">IF(COUNTIF($V$3:$Y$99, $B706)&lt;&gt;0, ROW($B706), 0)</f>
        <v>0</v>
      </c>
      <c r="B706" s="1" t="s">
        <v>54</v>
      </c>
      <c r="C706" s="1">
        <v>192</v>
      </c>
      <c r="D706" s="1">
        <v>9</v>
      </c>
    </row>
    <row r="707" spans="1:4" x14ac:dyDescent="0.25">
      <c r="A707" s="1">
        <f t="shared" si="16"/>
        <v>0</v>
      </c>
      <c r="B707" s="1" t="s">
        <v>59</v>
      </c>
      <c r="C707" s="1">
        <v>40</v>
      </c>
      <c r="D707" s="1">
        <v>1</v>
      </c>
    </row>
    <row r="708" spans="1:4" x14ac:dyDescent="0.25">
      <c r="A708" s="1">
        <f t="shared" si="16"/>
        <v>0</v>
      </c>
      <c r="B708" s="1" t="s">
        <v>74</v>
      </c>
      <c r="C708" s="1">
        <v>74</v>
      </c>
      <c r="D708" s="1">
        <v>1</v>
      </c>
    </row>
    <row r="709" spans="1:4" x14ac:dyDescent="0.25">
      <c r="A709" s="1">
        <f t="shared" si="16"/>
        <v>0</v>
      </c>
      <c r="B709" s="1" t="s">
        <v>27</v>
      </c>
      <c r="C709" s="1">
        <v>115.2</v>
      </c>
      <c r="D709" s="1">
        <v>3</v>
      </c>
    </row>
    <row r="710" spans="1:4" x14ac:dyDescent="0.25">
      <c r="A710" s="1">
        <f t="shared" si="16"/>
        <v>0</v>
      </c>
      <c r="B710" s="1" t="s">
        <v>55</v>
      </c>
      <c r="C710" s="1">
        <v>38.4</v>
      </c>
      <c r="D710" s="1">
        <v>1</v>
      </c>
    </row>
    <row r="711" spans="1:4" x14ac:dyDescent="0.25">
      <c r="A711" s="1">
        <f t="shared" si="16"/>
        <v>0</v>
      </c>
      <c r="B711" s="1" t="s">
        <v>52</v>
      </c>
      <c r="C711" s="1">
        <v>128</v>
      </c>
      <c r="D711" s="1">
        <v>2</v>
      </c>
    </row>
    <row r="712" spans="1:4" x14ac:dyDescent="0.25">
      <c r="A712" s="1">
        <f t="shared" si="16"/>
        <v>0</v>
      </c>
      <c r="B712" s="1" t="s">
        <v>36</v>
      </c>
      <c r="C712" s="1">
        <v>69.12</v>
      </c>
      <c r="D712" s="1">
        <v>2</v>
      </c>
    </row>
    <row r="713" spans="1:4" x14ac:dyDescent="0.25">
      <c r="A713" s="1">
        <f t="shared" si="16"/>
        <v>0</v>
      </c>
      <c r="B713" s="1" t="s">
        <v>41</v>
      </c>
      <c r="C713" s="1">
        <v>86.25</v>
      </c>
      <c r="D713" s="1">
        <v>3</v>
      </c>
    </row>
    <row r="714" spans="1:4" x14ac:dyDescent="0.25">
      <c r="A714" s="1">
        <f t="shared" si="16"/>
        <v>0</v>
      </c>
      <c r="B714" s="1" t="s">
        <v>39</v>
      </c>
      <c r="C714" s="1">
        <v>40</v>
      </c>
      <c r="D714" s="1">
        <v>1</v>
      </c>
    </row>
    <row r="715" spans="1:4" x14ac:dyDescent="0.25">
      <c r="A715" s="1">
        <f t="shared" si="16"/>
        <v>0</v>
      </c>
      <c r="B715" s="1" t="s">
        <v>30</v>
      </c>
      <c r="C715" s="1">
        <v>15.99</v>
      </c>
      <c r="D715" s="1">
        <v>1</v>
      </c>
    </row>
    <row r="716" spans="1:4" x14ac:dyDescent="0.25">
      <c r="A716" s="1">
        <f t="shared" si="16"/>
        <v>0</v>
      </c>
      <c r="B716" s="1" t="s">
        <v>67</v>
      </c>
      <c r="C716" s="1">
        <v>99.9</v>
      </c>
      <c r="D716" s="1">
        <v>2</v>
      </c>
    </row>
    <row r="717" spans="1:4" x14ac:dyDescent="0.25">
      <c r="A717" s="1">
        <f t="shared" si="16"/>
        <v>0</v>
      </c>
      <c r="B717" s="1" t="s">
        <v>43</v>
      </c>
      <c r="C717" s="1">
        <v>28.75</v>
      </c>
      <c r="D717" s="1">
        <v>1</v>
      </c>
    </row>
    <row r="718" spans="1:4" x14ac:dyDescent="0.25">
      <c r="A718" s="1">
        <f t="shared" si="16"/>
        <v>0</v>
      </c>
      <c r="B718" s="1" t="s">
        <v>44</v>
      </c>
      <c r="C718" s="1">
        <v>38.4</v>
      </c>
      <c r="D718" s="1">
        <v>1</v>
      </c>
    </row>
    <row r="719" spans="1:4" x14ac:dyDescent="0.25">
      <c r="A719" s="1">
        <f t="shared" si="16"/>
        <v>0</v>
      </c>
      <c r="B719" s="1" t="s">
        <v>45</v>
      </c>
      <c r="C719" s="1">
        <v>28.75</v>
      </c>
      <c r="D719" s="1">
        <v>1</v>
      </c>
    </row>
    <row r="720" spans="1:4" x14ac:dyDescent="0.25">
      <c r="A720" s="1">
        <f t="shared" si="16"/>
        <v>0</v>
      </c>
      <c r="B720" s="1" t="s">
        <v>68</v>
      </c>
      <c r="C720" s="1">
        <v>28.75</v>
      </c>
      <c r="D720" s="1">
        <v>1</v>
      </c>
    </row>
    <row r="721" spans="1:4" x14ac:dyDescent="0.25">
      <c r="A721" s="1">
        <f t="shared" si="16"/>
        <v>0</v>
      </c>
      <c r="B721" s="1" t="s">
        <v>56</v>
      </c>
      <c r="C721" s="1">
        <v>38.4</v>
      </c>
      <c r="D721" s="1">
        <v>1</v>
      </c>
    </row>
    <row r="722" spans="1:4" x14ac:dyDescent="0.25">
      <c r="A722" s="1">
        <f t="shared" si="16"/>
        <v>722</v>
      </c>
      <c r="B722" s="1" t="s">
        <v>94</v>
      </c>
    </row>
    <row r="723" spans="1:4" x14ac:dyDescent="0.25">
      <c r="A723" s="1">
        <f t="shared" si="16"/>
        <v>0</v>
      </c>
      <c r="B723" s="1" t="s">
        <v>1</v>
      </c>
      <c r="C723" s="1">
        <v>125</v>
      </c>
    </row>
    <row r="724" spans="1:4" x14ac:dyDescent="0.25">
      <c r="A724" s="1">
        <f t="shared" si="16"/>
        <v>0</v>
      </c>
      <c r="B724" s="1" t="s">
        <v>2</v>
      </c>
      <c r="C724" s="1">
        <v>4722.3599999999997</v>
      </c>
    </row>
    <row r="725" spans="1:4" x14ac:dyDescent="0.25">
      <c r="A725" s="1">
        <f t="shared" si="16"/>
        <v>0</v>
      </c>
      <c r="B725" s="1" t="s">
        <v>3</v>
      </c>
      <c r="C725" s="1" t="s">
        <v>4</v>
      </c>
      <c r="D725" s="1" t="s">
        <v>5</v>
      </c>
    </row>
    <row r="726" spans="1:4" x14ac:dyDescent="0.25">
      <c r="A726" s="1">
        <f t="shared" si="16"/>
        <v>0</v>
      </c>
      <c r="B726" s="1" t="s">
        <v>61</v>
      </c>
      <c r="C726" s="1">
        <v>64</v>
      </c>
      <c r="D726" s="1">
        <v>1</v>
      </c>
    </row>
    <row r="727" spans="1:4" x14ac:dyDescent="0.25">
      <c r="A727" s="1">
        <f t="shared" si="16"/>
        <v>0</v>
      </c>
      <c r="B727" s="1" t="s">
        <v>6</v>
      </c>
      <c r="C727" s="1">
        <v>219.2</v>
      </c>
      <c r="D727" s="1">
        <v>4</v>
      </c>
    </row>
    <row r="728" spans="1:4" x14ac:dyDescent="0.25">
      <c r="A728" s="1">
        <f t="shared" si="16"/>
        <v>0</v>
      </c>
      <c r="B728" s="1" t="s">
        <v>17</v>
      </c>
      <c r="C728" s="1">
        <v>614.4</v>
      </c>
      <c r="D728" s="1">
        <v>18</v>
      </c>
    </row>
    <row r="729" spans="1:4" x14ac:dyDescent="0.25">
      <c r="A729" s="1">
        <f t="shared" si="16"/>
        <v>0</v>
      </c>
      <c r="B729" s="1" t="s">
        <v>59</v>
      </c>
      <c r="C729" s="1">
        <v>40</v>
      </c>
      <c r="D729" s="1">
        <v>1</v>
      </c>
    </row>
    <row r="730" spans="1:4" x14ac:dyDescent="0.25">
      <c r="A730" s="1">
        <f t="shared" si="16"/>
        <v>0</v>
      </c>
      <c r="B730" s="1" t="s">
        <v>51</v>
      </c>
      <c r="C730" s="1">
        <v>38.4</v>
      </c>
      <c r="D730" s="1">
        <v>1</v>
      </c>
    </row>
    <row r="731" spans="1:4" x14ac:dyDescent="0.25">
      <c r="A731" s="1">
        <f t="shared" si="16"/>
        <v>0</v>
      </c>
      <c r="B731" s="1" t="s">
        <v>12</v>
      </c>
      <c r="C731" s="1">
        <v>210</v>
      </c>
      <c r="D731" s="1">
        <v>6</v>
      </c>
    </row>
    <row r="732" spans="1:4" x14ac:dyDescent="0.25">
      <c r="A732" s="1">
        <f t="shared" si="16"/>
        <v>0</v>
      </c>
      <c r="B732" s="1" t="s">
        <v>20</v>
      </c>
      <c r="C732" s="1">
        <v>614.4</v>
      </c>
      <c r="D732" s="1">
        <v>20</v>
      </c>
    </row>
    <row r="733" spans="1:4" x14ac:dyDescent="0.25">
      <c r="A733" s="1">
        <f t="shared" si="16"/>
        <v>0</v>
      </c>
      <c r="B733" s="1" t="s">
        <v>26</v>
      </c>
      <c r="C733" s="1">
        <v>37.5</v>
      </c>
      <c r="D733" s="1">
        <v>1</v>
      </c>
    </row>
    <row r="734" spans="1:4" x14ac:dyDescent="0.25">
      <c r="A734" s="1">
        <f t="shared" si="16"/>
        <v>0</v>
      </c>
      <c r="B734" s="1" t="s">
        <v>22</v>
      </c>
      <c r="C734" s="1">
        <v>219.2</v>
      </c>
      <c r="D734" s="1">
        <v>4</v>
      </c>
    </row>
    <row r="735" spans="1:4" x14ac:dyDescent="0.25">
      <c r="A735" s="1">
        <f t="shared" si="16"/>
        <v>0</v>
      </c>
      <c r="B735" s="1" t="s">
        <v>8</v>
      </c>
      <c r="C735" s="1">
        <v>493.2</v>
      </c>
      <c r="D735" s="1">
        <v>11</v>
      </c>
    </row>
    <row r="736" spans="1:4" x14ac:dyDescent="0.25">
      <c r="A736" s="1">
        <f t="shared" si="16"/>
        <v>0</v>
      </c>
      <c r="B736" s="1" t="s">
        <v>10</v>
      </c>
      <c r="C736" s="1">
        <v>115.2</v>
      </c>
      <c r="D736" s="1">
        <v>3</v>
      </c>
    </row>
    <row r="737" spans="1:4" x14ac:dyDescent="0.25">
      <c r="A737" s="1">
        <f t="shared" si="16"/>
        <v>0</v>
      </c>
      <c r="B737" s="1" t="s">
        <v>13</v>
      </c>
      <c r="C737" s="1">
        <v>153.6</v>
      </c>
      <c r="D737" s="1">
        <v>8</v>
      </c>
    </row>
    <row r="738" spans="1:4" x14ac:dyDescent="0.25">
      <c r="A738" s="1">
        <f t="shared" si="16"/>
        <v>0</v>
      </c>
      <c r="B738" s="1" t="s">
        <v>19</v>
      </c>
      <c r="C738" s="1">
        <v>57.5</v>
      </c>
      <c r="D738" s="1">
        <v>2</v>
      </c>
    </row>
    <row r="739" spans="1:4" x14ac:dyDescent="0.25">
      <c r="A739" s="1">
        <f t="shared" si="16"/>
        <v>0</v>
      </c>
      <c r="B739" s="1" t="s">
        <v>49</v>
      </c>
      <c r="C739" s="1">
        <v>40</v>
      </c>
      <c r="D739" s="1">
        <v>1</v>
      </c>
    </row>
    <row r="740" spans="1:4" x14ac:dyDescent="0.25">
      <c r="A740" s="1">
        <f t="shared" si="16"/>
        <v>0</v>
      </c>
      <c r="B740" s="1" t="s">
        <v>71</v>
      </c>
      <c r="C740" s="1">
        <v>40</v>
      </c>
      <c r="D740" s="1">
        <v>1</v>
      </c>
    </row>
    <row r="741" spans="1:4" x14ac:dyDescent="0.25">
      <c r="A741" s="1">
        <f t="shared" si="16"/>
        <v>0</v>
      </c>
      <c r="B741" s="1" t="s">
        <v>40</v>
      </c>
      <c r="C741" s="1">
        <v>164.4</v>
      </c>
      <c r="D741" s="1">
        <v>3</v>
      </c>
    </row>
    <row r="742" spans="1:4" x14ac:dyDescent="0.25">
      <c r="A742" s="1">
        <f t="shared" si="16"/>
        <v>0</v>
      </c>
      <c r="B742" s="1" t="s">
        <v>14</v>
      </c>
      <c r="C742" s="1">
        <v>28.75</v>
      </c>
      <c r="D742" s="1">
        <v>1</v>
      </c>
    </row>
    <row r="743" spans="1:4" x14ac:dyDescent="0.25">
      <c r="A743" s="1">
        <f t="shared" si="16"/>
        <v>0</v>
      </c>
      <c r="B743" s="1" t="s">
        <v>16</v>
      </c>
      <c r="C743" s="1">
        <v>70.400000000000006</v>
      </c>
      <c r="D743" s="1">
        <v>2</v>
      </c>
    </row>
    <row r="744" spans="1:4" x14ac:dyDescent="0.25">
      <c r="A744" s="1">
        <f t="shared" si="16"/>
        <v>0</v>
      </c>
      <c r="B744" s="1" t="s">
        <v>62</v>
      </c>
      <c r="C744" s="1">
        <v>76.8</v>
      </c>
      <c r="D744" s="1">
        <v>2</v>
      </c>
    </row>
    <row r="745" spans="1:4" x14ac:dyDescent="0.25">
      <c r="A745" s="1">
        <f t="shared" si="16"/>
        <v>0</v>
      </c>
      <c r="B745" s="1" t="s">
        <v>50</v>
      </c>
      <c r="C745" s="1">
        <v>85</v>
      </c>
      <c r="D745" s="1">
        <v>2</v>
      </c>
    </row>
    <row r="746" spans="1:4" x14ac:dyDescent="0.25">
      <c r="A746" s="1">
        <f t="shared" si="16"/>
        <v>0</v>
      </c>
      <c r="B746" s="1" t="s">
        <v>21</v>
      </c>
      <c r="C746" s="1">
        <v>219.2</v>
      </c>
      <c r="D746" s="1">
        <v>4</v>
      </c>
    </row>
    <row r="747" spans="1:4" x14ac:dyDescent="0.25">
      <c r="A747" s="1">
        <f t="shared" si="16"/>
        <v>0</v>
      </c>
      <c r="B747" s="1" t="s">
        <v>54</v>
      </c>
      <c r="C747" s="1">
        <v>38.4</v>
      </c>
      <c r="D747" s="1">
        <v>1</v>
      </c>
    </row>
    <row r="748" spans="1:4" x14ac:dyDescent="0.25">
      <c r="A748" s="1">
        <f t="shared" si="16"/>
        <v>0</v>
      </c>
      <c r="B748" s="1" t="s">
        <v>25</v>
      </c>
      <c r="C748" s="1">
        <v>80</v>
      </c>
      <c r="D748" s="1">
        <v>2</v>
      </c>
    </row>
    <row r="749" spans="1:4" x14ac:dyDescent="0.25">
      <c r="A749" s="1">
        <f t="shared" si="16"/>
        <v>0</v>
      </c>
      <c r="B749" s="1" t="s">
        <v>57</v>
      </c>
      <c r="C749" s="1">
        <v>40</v>
      </c>
      <c r="D749" s="1">
        <v>1</v>
      </c>
    </row>
    <row r="750" spans="1:4" x14ac:dyDescent="0.25">
      <c r="A750" s="1">
        <f t="shared" si="16"/>
        <v>0</v>
      </c>
      <c r="B750" s="1" t="s">
        <v>18</v>
      </c>
      <c r="C750" s="1">
        <v>268.8</v>
      </c>
      <c r="D750" s="1">
        <v>7</v>
      </c>
    </row>
    <row r="751" spans="1:4" x14ac:dyDescent="0.25">
      <c r="A751" s="1">
        <f t="shared" si="16"/>
        <v>0</v>
      </c>
      <c r="B751" s="1" t="s">
        <v>11</v>
      </c>
      <c r="C751" s="1">
        <v>40</v>
      </c>
      <c r="D751" s="1">
        <v>1</v>
      </c>
    </row>
    <row r="752" spans="1:4" x14ac:dyDescent="0.25">
      <c r="A752" s="1">
        <f t="shared" si="16"/>
        <v>0</v>
      </c>
      <c r="B752" s="1" t="s">
        <v>42</v>
      </c>
      <c r="C752" s="1">
        <v>40</v>
      </c>
      <c r="D752" s="1">
        <v>1</v>
      </c>
    </row>
    <row r="753" spans="1:4" x14ac:dyDescent="0.25">
      <c r="A753" s="1">
        <f t="shared" si="16"/>
        <v>0</v>
      </c>
      <c r="B753" s="1" t="s">
        <v>27</v>
      </c>
      <c r="C753" s="1">
        <v>76.8</v>
      </c>
      <c r="D753" s="1">
        <v>2</v>
      </c>
    </row>
    <row r="754" spans="1:4" x14ac:dyDescent="0.25">
      <c r="A754" s="1">
        <f t="shared" si="16"/>
        <v>0</v>
      </c>
      <c r="B754" s="1" t="s">
        <v>33</v>
      </c>
      <c r="C754" s="1">
        <v>280</v>
      </c>
      <c r="D754" s="1">
        <v>7</v>
      </c>
    </row>
    <row r="755" spans="1:4" x14ac:dyDescent="0.25">
      <c r="A755" s="1">
        <f t="shared" si="16"/>
        <v>0</v>
      </c>
      <c r="B755" s="1" t="s">
        <v>56</v>
      </c>
      <c r="C755" s="1">
        <v>38.4</v>
      </c>
      <c r="D755" s="1">
        <v>1</v>
      </c>
    </row>
    <row r="756" spans="1:4" x14ac:dyDescent="0.25">
      <c r="A756" s="1">
        <f t="shared" si="16"/>
        <v>0</v>
      </c>
      <c r="B756" s="1" t="s">
        <v>67</v>
      </c>
      <c r="C756" s="1">
        <v>49.95</v>
      </c>
      <c r="D756" s="1">
        <v>1</v>
      </c>
    </row>
    <row r="757" spans="1:4" x14ac:dyDescent="0.25">
      <c r="A757" s="1">
        <f t="shared" si="16"/>
        <v>0</v>
      </c>
      <c r="B757" s="1" t="s">
        <v>41</v>
      </c>
      <c r="C757" s="1">
        <v>57.5</v>
      </c>
      <c r="D757" s="1">
        <v>2</v>
      </c>
    </row>
    <row r="758" spans="1:4" x14ac:dyDescent="0.25">
      <c r="A758" s="1">
        <f t="shared" si="16"/>
        <v>0</v>
      </c>
      <c r="B758" s="1" t="s">
        <v>36</v>
      </c>
      <c r="C758" s="1">
        <v>34.56</v>
      </c>
      <c r="D758" s="1">
        <v>1</v>
      </c>
    </row>
    <row r="759" spans="1:4" x14ac:dyDescent="0.25">
      <c r="A759" s="1">
        <f t="shared" si="16"/>
        <v>0</v>
      </c>
      <c r="B759" s="1" t="s">
        <v>44</v>
      </c>
      <c r="C759" s="1">
        <v>76.8</v>
      </c>
      <c r="D759" s="1">
        <v>2</v>
      </c>
    </row>
    <row r="760" spans="1:4" x14ac:dyDescent="0.25">
      <c r="A760" s="1">
        <f t="shared" si="16"/>
        <v>760</v>
      </c>
      <c r="B760" s="1" t="s">
        <v>95</v>
      </c>
    </row>
    <row r="761" spans="1:4" x14ac:dyDescent="0.25">
      <c r="A761" s="1">
        <f t="shared" si="16"/>
        <v>0</v>
      </c>
      <c r="B761" s="1" t="s">
        <v>1</v>
      </c>
      <c r="C761" s="1">
        <v>22</v>
      </c>
    </row>
    <row r="762" spans="1:4" x14ac:dyDescent="0.25">
      <c r="A762" s="1">
        <f t="shared" si="16"/>
        <v>0</v>
      </c>
      <c r="B762" s="1" t="s">
        <v>2</v>
      </c>
      <c r="C762" s="1">
        <v>954.4</v>
      </c>
    </row>
    <row r="763" spans="1:4" x14ac:dyDescent="0.25">
      <c r="A763" s="1">
        <f t="shared" si="16"/>
        <v>0</v>
      </c>
      <c r="B763" s="1" t="s">
        <v>3</v>
      </c>
      <c r="C763" s="1" t="s">
        <v>4</v>
      </c>
      <c r="D763" s="1" t="s">
        <v>5</v>
      </c>
    </row>
    <row r="764" spans="1:4" x14ac:dyDescent="0.25">
      <c r="A764" s="1">
        <f t="shared" si="16"/>
        <v>0</v>
      </c>
      <c r="B764" s="1" t="s">
        <v>7</v>
      </c>
      <c r="C764" s="1">
        <v>109.6</v>
      </c>
      <c r="D764" s="1">
        <v>2</v>
      </c>
    </row>
    <row r="765" spans="1:4" x14ac:dyDescent="0.25">
      <c r="A765" s="1">
        <f t="shared" si="16"/>
        <v>0</v>
      </c>
      <c r="B765" s="1" t="s">
        <v>8</v>
      </c>
      <c r="C765" s="1">
        <v>109.6</v>
      </c>
      <c r="D765" s="1">
        <v>2</v>
      </c>
    </row>
    <row r="766" spans="1:4" x14ac:dyDescent="0.25">
      <c r="A766" s="1">
        <f t="shared" si="16"/>
        <v>0</v>
      </c>
      <c r="B766" s="1" t="s">
        <v>20</v>
      </c>
      <c r="C766" s="1">
        <v>230.4</v>
      </c>
      <c r="D766" s="1">
        <v>7</v>
      </c>
    </row>
    <row r="767" spans="1:4" x14ac:dyDescent="0.25">
      <c r="A767" s="1">
        <f t="shared" si="16"/>
        <v>0</v>
      </c>
      <c r="B767" s="1" t="s">
        <v>14</v>
      </c>
      <c r="C767" s="1">
        <v>28.75</v>
      </c>
      <c r="D767" s="1">
        <v>1</v>
      </c>
    </row>
    <row r="768" spans="1:4" x14ac:dyDescent="0.25">
      <c r="A768" s="1">
        <f t="shared" si="16"/>
        <v>0</v>
      </c>
      <c r="B768" s="1" t="s">
        <v>26</v>
      </c>
      <c r="C768" s="1">
        <v>37.5</v>
      </c>
      <c r="D768" s="1">
        <v>1</v>
      </c>
    </row>
    <row r="769" spans="1:4" x14ac:dyDescent="0.25">
      <c r="A769" s="1">
        <f t="shared" si="16"/>
        <v>0</v>
      </c>
      <c r="B769" s="1" t="s">
        <v>21</v>
      </c>
      <c r="C769" s="1">
        <v>54.8</v>
      </c>
      <c r="D769" s="1">
        <v>1</v>
      </c>
    </row>
    <row r="770" spans="1:4" x14ac:dyDescent="0.25">
      <c r="A770" s="1">
        <f t="shared" ref="A770:A833" si="17">IF(COUNTIF($V$3:$Y$99, $B770)&lt;&gt;0, ROW($B770), 0)</f>
        <v>0</v>
      </c>
      <c r="B770" s="1" t="s">
        <v>49</v>
      </c>
      <c r="C770" s="1">
        <v>40</v>
      </c>
      <c r="D770" s="1">
        <v>1</v>
      </c>
    </row>
    <row r="771" spans="1:4" x14ac:dyDescent="0.25">
      <c r="A771" s="1">
        <f t="shared" si="17"/>
        <v>0</v>
      </c>
      <c r="B771" s="1" t="s">
        <v>33</v>
      </c>
      <c r="C771" s="1">
        <v>80</v>
      </c>
      <c r="D771" s="1">
        <v>2</v>
      </c>
    </row>
    <row r="772" spans="1:4" x14ac:dyDescent="0.25">
      <c r="A772" s="1">
        <f t="shared" si="17"/>
        <v>0</v>
      </c>
      <c r="B772" s="1" t="s">
        <v>52</v>
      </c>
      <c r="C772" s="1">
        <v>64</v>
      </c>
      <c r="D772" s="1">
        <v>1</v>
      </c>
    </row>
    <row r="773" spans="1:4" x14ac:dyDescent="0.25">
      <c r="A773" s="1">
        <f t="shared" si="17"/>
        <v>0</v>
      </c>
      <c r="B773" s="1" t="s">
        <v>53</v>
      </c>
      <c r="C773" s="1">
        <v>28.75</v>
      </c>
      <c r="D773" s="1">
        <v>1</v>
      </c>
    </row>
    <row r="774" spans="1:4" x14ac:dyDescent="0.25">
      <c r="A774" s="1">
        <f t="shared" si="17"/>
        <v>0</v>
      </c>
      <c r="B774" s="1" t="s">
        <v>12</v>
      </c>
      <c r="C774" s="1">
        <v>35</v>
      </c>
      <c r="D774" s="1">
        <v>1</v>
      </c>
    </row>
    <row r="775" spans="1:4" x14ac:dyDescent="0.25">
      <c r="A775" s="1">
        <f t="shared" si="17"/>
        <v>0</v>
      </c>
      <c r="B775" s="1" t="s">
        <v>15</v>
      </c>
      <c r="C775" s="1">
        <v>136</v>
      </c>
      <c r="D775" s="1">
        <v>2</v>
      </c>
    </row>
    <row r="776" spans="1:4" x14ac:dyDescent="0.25">
      <c r="A776" s="1">
        <f t="shared" si="17"/>
        <v>776</v>
      </c>
      <c r="B776" s="1" t="s">
        <v>96</v>
      </c>
    </row>
    <row r="777" spans="1:4" x14ac:dyDescent="0.25">
      <c r="A777" s="1">
        <f t="shared" si="17"/>
        <v>0</v>
      </c>
      <c r="B777" s="1" t="s">
        <v>1</v>
      </c>
      <c r="C777" s="1">
        <v>125</v>
      </c>
    </row>
    <row r="778" spans="1:4" x14ac:dyDescent="0.25">
      <c r="A778" s="1">
        <f t="shared" si="17"/>
        <v>0</v>
      </c>
      <c r="B778" s="1" t="s">
        <v>2</v>
      </c>
      <c r="C778" s="1">
        <v>5421.5</v>
      </c>
    </row>
    <row r="779" spans="1:4" x14ac:dyDescent="0.25">
      <c r="A779" s="1">
        <f t="shared" si="17"/>
        <v>0</v>
      </c>
      <c r="B779" s="1" t="s">
        <v>3</v>
      </c>
      <c r="C779" s="1" t="s">
        <v>4</v>
      </c>
      <c r="D779" s="1" t="s">
        <v>5</v>
      </c>
    </row>
    <row r="780" spans="1:4" x14ac:dyDescent="0.25">
      <c r="A780" s="1">
        <f t="shared" si="17"/>
        <v>0</v>
      </c>
      <c r="B780" s="1" t="s">
        <v>21</v>
      </c>
      <c r="C780" s="1">
        <v>767.2</v>
      </c>
      <c r="D780" s="1">
        <v>14</v>
      </c>
    </row>
    <row r="781" spans="1:4" x14ac:dyDescent="0.25">
      <c r="A781" s="1">
        <f t="shared" si="17"/>
        <v>0</v>
      </c>
      <c r="B781" s="1" t="s">
        <v>7</v>
      </c>
      <c r="C781" s="1">
        <v>274</v>
      </c>
      <c r="D781" s="1">
        <v>6</v>
      </c>
    </row>
    <row r="782" spans="1:4" x14ac:dyDescent="0.25">
      <c r="A782" s="1">
        <f t="shared" si="17"/>
        <v>0</v>
      </c>
      <c r="B782" s="1" t="s">
        <v>18</v>
      </c>
      <c r="C782" s="1">
        <v>499.2</v>
      </c>
      <c r="D782" s="1">
        <v>13</v>
      </c>
    </row>
    <row r="783" spans="1:4" x14ac:dyDescent="0.25">
      <c r="A783" s="1">
        <f t="shared" si="17"/>
        <v>0</v>
      </c>
      <c r="B783" s="1" t="s">
        <v>17</v>
      </c>
      <c r="C783" s="1">
        <v>460.8</v>
      </c>
      <c r="D783" s="1">
        <v>13</v>
      </c>
    </row>
    <row r="784" spans="1:4" x14ac:dyDescent="0.25">
      <c r="A784" s="1">
        <f t="shared" si="17"/>
        <v>0</v>
      </c>
      <c r="B784" s="1" t="s">
        <v>40</v>
      </c>
      <c r="C784" s="1">
        <v>219.2</v>
      </c>
      <c r="D784" s="1">
        <v>4</v>
      </c>
    </row>
    <row r="785" spans="1:4" x14ac:dyDescent="0.25">
      <c r="A785" s="1">
        <f t="shared" si="17"/>
        <v>0</v>
      </c>
      <c r="B785" s="1" t="s">
        <v>8</v>
      </c>
      <c r="C785" s="1">
        <v>602.79999999999995</v>
      </c>
      <c r="D785" s="1">
        <v>11</v>
      </c>
    </row>
    <row r="786" spans="1:4" x14ac:dyDescent="0.25">
      <c r="A786" s="1">
        <f t="shared" si="17"/>
        <v>0</v>
      </c>
      <c r="B786" s="1" t="s">
        <v>14</v>
      </c>
      <c r="C786" s="1">
        <v>28.75</v>
      </c>
      <c r="D786" s="1">
        <v>1</v>
      </c>
    </row>
    <row r="787" spans="1:4" x14ac:dyDescent="0.25">
      <c r="A787" s="1">
        <f t="shared" si="17"/>
        <v>0</v>
      </c>
      <c r="B787" s="1" t="s">
        <v>42</v>
      </c>
      <c r="C787" s="1">
        <v>40</v>
      </c>
      <c r="D787" s="1">
        <v>1</v>
      </c>
    </row>
    <row r="788" spans="1:4" x14ac:dyDescent="0.25">
      <c r="A788" s="1">
        <f t="shared" si="17"/>
        <v>0</v>
      </c>
      <c r="B788" s="1" t="s">
        <v>12</v>
      </c>
      <c r="C788" s="1">
        <v>385</v>
      </c>
      <c r="D788" s="1">
        <v>11</v>
      </c>
    </row>
    <row r="789" spans="1:4" x14ac:dyDescent="0.25">
      <c r="A789" s="1">
        <f t="shared" si="17"/>
        <v>0</v>
      </c>
      <c r="B789" s="1" t="s">
        <v>9</v>
      </c>
      <c r="C789" s="1">
        <v>219.2</v>
      </c>
      <c r="D789" s="1">
        <v>4</v>
      </c>
    </row>
    <row r="790" spans="1:4" x14ac:dyDescent="0.25">
      <c r="A790" s="1">
        <f t="shared" si="17"/>
        <v>0</v>
      </c>
      <c r="B790" s="1" t="s">
        <v>51</v>
      </c>
      <c r="C790" s="1">
        <v>192</v>
      </c>
      <c r="D790" s="1">
        <v>5</v>
      </c>
    </row>
    <row r="791" spans="1:4" x14ac:dyDescent="0.25">
      <c r="A791" s="1">
        <f t="shared" si="17"/>
        <v>0</v>
      </c>
      <c r="B791" s="1" t="s">
        <v>49</v>
      </c>
      <c r="C791" s="1">
        <v>80</v>
      </c>
      <c r="D791" s="1">
        <v>2</v>
      </c>
    </row>
    <row r="792" spans="1:4" x14ac:dyDescent="0.25">
      <c r="A792" s="1">
        <f t="shared" si="17"/>
        <v>0</v>
      </c>
      <c r="B792" s="1" t="s">
        <v>22</v>
      </c>
      <c r="C792" s="1">
        <v>54.8</v>
      </c>
      <c r="D792" s="1">
        <v>1</v>
      </c>
    </row>
    <row r="793" spans="1:4" x14ac:dyDescent="0.25">
      <c r="A793" s="1">
        <f t="shared" si="17"/>
        <v>0</v>
      </c>
      <c r="B793" s="1" t="s">
        <v>20</v>
      </c>
      <c r="C793" s="1">
        <v>192</v>
      </c>
      <c r="D793" s="1">
        <v>5</v>
      </c>
    </row>
    <row r="794" spans="1:4" x14ac:dyDescent="0.25">
      <c r="A794" s="1">
        <f t="shared" si="17"/>
        <v>0</v>
      </c>
      <c r="B794" s="1" t="s">
        <v>13</v>
      </c>
      <c r="C794" s="1">
        <v>115.2</v>
      </c>
      <c r="D794" s="1">
        <v>3</v>
      </c>
    </row>
    <row r="795" spans="1:4" x14ac:dyDescent="0.25">
      <c r="A795" s="1">
        <f t="shared" si="17"/>
        <v>0</v>
      </c>
      <c r="B795" s="1" t="s">
        <v>25</v>
      </c>
      <c r="C795" s="1">
        <v>40</v>
      </c>
      <c r="D795" s="1">
        <v>1</v>
      </c>
    </row>
    <row r="796" spans="1:4" x14ac:dyDescent="0.25">
      <c r="A796" s="1">
        <f t="shared" si="17"/>
        <v>0</v>
      </c>
      <c r="B796" s="1" t="s">
        <v>6</v>
      </c>
      <c r="C796" s="1">
        <v>274</v>
      </c>
      <c r="D796" s="1">
        <v>8</v>
      </c>
    </row>
    <row r="797" spans="1:4" x14ac:dyDescent="0.25">
      <c r="A797" s="1">
        <f t="shared" si="17"/>
        <v>0</v>
      </c>
      <c r="B797" s="1" t="s">
        <v>41</v>
      </c>
      <c r="C797" s="1">
        <v>86.25</v>
      </c>
      <c r="D797" s="1">
        <v>3</v>
      </c>
    </row>
    <row r="798" spans="1:4" x14ac:dyDescent="0.25">
      <c r="A798" s="1">
        <f t="shared" si="17"/>
        <v>0</v>
      </c>
      <c r="B798" s="1" t="s">
        <v>33</v>
      </c>
      <c r="C798" s="1">
        <v>120</v>
      </c>
      <c r="D798" s="1">
        <v>3</v>
      </c>
    </row>
    <row r="799" spans="1:4" x14ac:dyDescent="0.25">
      <c r="A799" s="1">
        <f t="shared" si="17"/>
        <v>0</v>
      </c>
      <c r="B799" s="1" t="s">
        <v>61</v>
      </c>
      <c r="C799" s="1">
        <v>128</v>
      </c>
      <c r="D799" s="1">
        <v>2</v>
      </c>
    </row>
    <row r="800" spans="1:4" x14ac:dyDescent="0.25">
      <c r="A800" s="1">
        <f t="shared" si="17"/>
        <v>0</v>
      </c>
      <c r="B800" s="1" t="s">
        <v>56</v>
      </c>
      <c r="C800" s="1">
        <v>115.2</v>
      </c>
      <c r="D800" s="1">
        <v>3</v>
      </c>
    </row>
    <row r="801" spans="1:4" x14ac:dyDescent="0.25">
      <c r="A801" s="1">
        <f t="shared" si="17"/>
        <v>0</v>
      </c>
      <c r="B801" s="1" t="s">
        <v>59</v>
      </c>
      <c r="C801" s="1">
        <v>80</v>
      </c>
      <c r="D801" s="1">
        <v>2</v>
      </c>
    </row>
    <row r="802" spans="1:4" x14ac:dyDescent="0.25">
      <c r="A802" s="1">
        <f t="shared" si="17"/>
        <v>0</v>
      </c>
      <c r="B802" s="1" t="s">
        <v>67</v>
      </c>
      <c r="C802" s="1">
        <v>99.9</v>
      </c>
      <c r="D802" s="1">
        <v>2</v>
      </c>
    </row>
    <row r="803" spans="1:4" x14ac:dyDescent="0.25">
      <c r="A803" s="1">
        <f t="shared" si="17"/>
        <v>0</v>
      </c>
      <c r="B803" s="1" t="s">
        <v>37</v>
      </c>
      <c r="C803" s="1">
        <v>54.8</v>
      </c>
      <c r="D803" s="1">
        <v>1</v>
      </c>
    </row>
    <row r="804" spans="1:4" x14ac:dyDescent="0.25">
      <c r="A804" s="1">
        <f t="shared" si="17"/>
        <v>0</v>
      </c>
      <c r="B804" s="1" t="s">
        <v>34</v>
      </c>
      <c r="C804" s="1">
        <v>64</v>
      </c>
      <c r="D804" s="1">
        <v>1</v>
      </c>
    </row>
    <row r="805" spans="1:4" x14ac:dyDescent="0.25">
      <c r="A805" s="1">
        <f t="shared" si="17"/>
        <v>0</v>
      </c>
      <c r="B805" s="1" t="s">
        <v>74</v>
      </c>
      <c r="C805" s="1">
        <v>74</v>
      </c>
      <c r="D805" s="1">
        <v>1</v>
      </c>
    </row>
    <row r="806" spans="1:4" x14ac:dyDescent="0.25">
      <c r="A806" s="1">
        <f t="shared" si="17"/>
        <v>0</v>
      </c>
      <c r="B806" s="1" t="s">
        <v>10</v>
      </c>
      <c r="C806" s="1">
        <v>38.4</v>
      </c>
      <c r="D806" s="1">
        <v>1</v>
      </c>
    </row>
    <row r="807" spans="1:4" x14ac:dyDescent="0.25">
      <c r="A807" s="1">
        <f t="shared" si="17"/>
        <v>0</v>
      </c>
      <c r="B807" s="1" t="s">
        <v>57</v>
      </c>
      <c r="C807" s="1">
        <v>40</v>
      </c>
      <c r="D807" s="1">
        <v>1</v>
      </c>
    </row>
    <row r="808" spans="1:4" x14ac:dyDescent="0.25">
      <c r="A808" s="1">
        <f t="shared" si="17"/>
        <v>0</v>
      </c>
      <c r="B808" s="1" t="s">
        <v>54</v>
      </c>
      <c r="C808" s="1">
        <v>38.4</v>
      </c>
      <c r="D808" s="1">
        <v>1</v>
      </c>
    </row>
    <row r="809" spans="1:4" x14ac:dyDescent="0.25">
      <c r="A809" s="1">
        <f t="shared" si="17"/>
        <v>0</v>
      </c>
      <c r="B809" s="1" t="s">
        <v>44</v>
      </c>
      <c r="C809" s="1">
        <v>38.4</v>
      </c>
      <c r="D809" s="1">
        <v>1</v>
      </c>
    </row>
    <row r="810" spans="1:4" x14ac:dyDescent="0.25">
      <c r="A810" s="1">
        <f t="shared" si="17"/>
        <v>810</v>
      </c>
      <c r="B810" s="1" t="s">
        <v>97</v>
      </c>
    </row>
    <row r="811" spans="1:4" x14ac:dyDescent="0.25">
      <c r="A811" s="1">
        <f t="shared" si="17"/>
        <v>0</v>
      </c>
      <c r="B811" s="1" t="s">
        <v>1</v>
      </c>
      <c r="C811" s="1">
        <v>164</v>
      </c>
    </row>
    <row r="812" spans="1:4" x14ac:dyDescent="0.25">
      <c r="A812" s="1">
        <f t="shared" si="17"/>
        <v>0</v>
      </c>
      <c r="B812" s="1" t="s">
        <v>2</v>
      </c>
      <c r="C812" s="1">
        <v>6141.01</v>
      </c>
    </row>
    <row r="813" spans="1:4" x14ac:dyDescent="0.25">
      <c r="A813" s="1">
        <f t="shared" si="17"/>
        <v>0</v>
      </c>
      <c r="B813" s="1" t="s">
        <v>3</v>
      </c>
      <c r="C813" s="1" t="s">
        <v>4</v>
      </c>
      <c r="D813" s="1" t="s">
        <v>5</v>
      </c>
    </row>
    <row r="814" spans="1:4" x14ac:dyDescent="0.25">
      <c r="A814" s="1">
        <f t="shared" si="17"/>
        <v>0</v>
      </c>
      <c r="B814" s="1" t="s">
        <v>29</v>
      </c>
      <c r="C814" s="1">
        <v>38.4</v>
      </c>
      <c r="D814" s="1">
        <v>1</v>
      </c>
    </row>
    <row r="815" spans="1:4" x14ac:dyDescent="0.25">
      <c r="A815" s="1">
        <f t="shared" si="17"/>
        <v>0</v>
      </c>
      <c r="B815" s="1" t="s">
        <v>51</v>
      </c>
      <c r="C815" s="1">
        <v>307.2</v>
      </c>
      <c r="D815" s="1">
        <v>12</v>
      </c>
    </row>
    <row r="816" spans="1:4" x14ac:dyDescent="0.25">
      <c r="A816" s="1">
        <f t="shared" si="17"/>
        <v>0</v>
      </c>
      <c r="B816" s="1" t="s">
        <v>7</v>
      </c>
      <c r="C816" s="1">
        <v>328.8</v>
      </c>
      <c r="D816" s="1">
        <v>6</v>
      </c>
    </row>
    <row r="817" spans="1:4" x14ac:dyDescent="0.25">
      <c r="A817" s="1">
        <f t="shared" si="17"/>
        <v>0</v>
      </c>
      <c r="B817" s="1" t="s">
        <v>20</v>
      </c>
      <c r="C817" s="1">
        <v>192</v>
      </c>
      <c r="D817" s="1">
        <v>5</v>
      </c>
    </row>
    <row r="818" spans="1:4" x14ac:dyDescent="0.25">
      <c r="A818" s="1">
        <f t="shared" si="17"/>
        <v>0</v>
      </c>
      <c r="B818" s="1" t="s">
        <v>16</v>
      </c>
      <c r="C818" s="1">
        <v>70.400000000000006</v>
      </c>
      <c r="D818" s="1">
        <v>3</v>
      </c>
    </row>
    <row r="819" spans="1:4" x14ac:dyDescent="0.25">
      <c r="A819" s="1">
        <f t="shared" si="17"/>
        <v>0</v>
      </c>
      <c r="B819" s="1" t="s">
        <v>12</v>
      </c>
      <c r="C819" s="1">
        <v>420</v>
      </c>
      <c r="D819" s="1">
        <v>12</v>
      </c>
    </row>
    <row r="820" spans="1:4" x14ac:dyDescent="0.25">
      <c r="A820" s="1">
        <f t="shared" si="17"/>
        <v>0</v>
      </c>
      <c r="B820" s="1" t="s">
        <v>17</v>
      </c>
      <c r="C820" s="1">
        <v>1382.4</v>
      </c>
      <c r="D820" s="1">
        <v>43</v>
      </c>
    </row>
    <row r="821" spans="1:4" x14ac:dyDescent="0.25">
      <c r="A821" s="1">
        <f t="shared" si="17"/>
        <v>0</v>
      </c>
      <c r="B821" s="1" t="s">
        <v>18</v>
      </c>
      <c r="C821" s="1">
        <v>729.6</v>
      </c>
      <c r="D821" s="1">
        <v>20</v>
      </c>
    </row>
    <row r="822" spans="1:4" x14ac:dyDescent="0.25">
      <c r="A822" s="1">
        <f t="shared" si="17"/>
        <v>0</v>
      </c>
      <c r="B822" s="1" t="s">
        <v>21</v>
      </c>
      <c r="C822" s="1">
        <v>274</v>
      </c>
      <c r="D822" s="1">
        <v>5</v>
      </c>
    </row>
    <row r="823" spans="1:4" x14ac:dyDescent="0.25">
      <c r="A823" s="1">
        <f t="shared" si="17"/>
        <v>0</v>
      </c>
      <c r="B823" s="1" t="s">
        <v>62</v>
      </c>
      <c r="C823" s="1">
        <v>115.2</v>
      </c>
      <c r="D823" s="1">
        <v>3</v>
      </c>
    </row>
    <row r="824" spans="1:4" x14ac:dyDescent="0.25">
      <c r="A824" s="1">
        <f t="shared" si="17"/>
        <v>0</v>
      </c>
      <c r="B824" s="1" t="s">
        <v>19</v>
      </c>
      <c r="C824" s="1">
        <v>28.75</v>
      </c>
      <c r="D824" s="1">
        <v>1</v>
      </c>
    </row>
    <row r="825" spans="1:4" x14ac:dyDescent="0.25">
      <c r="A825" s="1">
        <f t="shared" si="17"/>
        <v>0</v>
      </c>
      <c r="B825" s="1" t="s">
        <v>14</v>
      </c>
      <c r="C825" s="1">
        <v>28.75</v>
      </c>
      <c r="D825" s="1">
        <v>1</v>
      </c>
    </row>
    <row r="826" spans="1:4" x14ac:dyDescent="0.25">
      <c r="A826" s="1">
        <f t="shared" si="17"/>
        <v>0</v>
      </c>
      <c r="B826" s="1" t="s">
        <v>8</v>
      </c>
      <c r="C826" s="1">
        <v>712.4</v>
      </c>
      <c r="D826" s="1">
        <v>13</v>
      </c>
    </row>
    <row r="827" spans="1:4" x14ac:dyDescent="0.25">
      <c r="A827" s="1">
        <f t="shared" si="17"/>
        <v>0</v>
      </c>
      <c r="B827" s="1" t="s">
        <v>26</v>
      </c>
      <c r="C827" s="1">
        <v>37.5</v>
      </c>
      <c r="D827" s="1">
        <v>1</v>
      </c>
    </row>
    <row r="828" spans="1:4" x14ac:dyDescent="0.25">
      <c r="A828" s="1">
        <f t="shared" si="17"/>
        <v>0</v>
      </c>
      <c r="B828" s="1" t="s">
        <v>28</v>
      </c>
      <c r="C828" s="1">
        <v>76.8</v>
      </c>
      <c r="D828" s="1">
        <v>2</v>
      </c>
    </row>
    <row r="829" spans="1:4" x14ac:dyDescent="0.25">
      <c r="A829" s="1">
        <f t="shared" si="17"/>
        <v>0</v>
      </c>
      <c r="B829" s="1" t="s">
        <v>61</v>
      </c>
      <c r="C829" s="1">
        <v>64</v>
      </c>
      <c r="D829" s="1">
        <v>1</v>
      </c>
    </row>
    <row r="830" spans="1:4" x14ac:dyDescent="0.25">
      <c r="A830" s="1">
        <f t="shared" si="17"/>
        <v>0</v>
      </c>
      <c r="B830" s="1" t="s">
        <v>13</v>
      </c>
      <c r="C830" s="1">
        <v>76.8</v>
      </c>
      <c r="D830" s="1">
        <v>4</v>
      </c>
    </row>
    <row r="831" spans="1:4" x14ac:dyDescent="0.25">
      <c r="A831" s="1">
        <f t="shared" si="17"/>
        <v>0</v>
      </c>
      <c r="B831" s="1" t="s">
        <v>10</v>
      </c>
      <c r="C831" s="1">
        <v>38.4</v>
      </c>
      <c r="D831" s="1">
        <v>1</v>
      </c>
    </row>
    <row r="832" spans="1:4" x14ac:dyDescent="0.25">
      <c r="A832" s="1">
        <f t="shared" si="17"/>
        <v>0</v>
      </c>
      <c r="B832" s="1" t="s">
        <v>15</v>
      </c>
      <c r="C832" s="1">
        <v>68</v>
      </c>
      <c r="D832" s="1">
        <v>1</v>
      </c>
    </row>
    <row r="833" spans="1:4" x14ac:dyDescent="0.25">
      <c r="A833" s="1">
        <f t="shared" si="17"/>
        <v>0</v>
      </c>
      <c r="B833" s="1" t="s">
        <v>36</v>
      </c>
      <c r="C833" s="1">
        <v>111.36</v>
      </c>
      <c r="D833" s="1">
        <v>4</v>
      </c>
    </row>
    <row r="834" spans="1:4" x14ac:dyDescent="0.25">
      <c r="A834" s="1">
        <f t="shared" ref="A834:A897" si="18">IF(COUNTIF($V$3:$Y$99, $B834)&lt;&gt;0, ROW($B834), 0)</f>
        <v>0</v>
      </c>
      <c r="B834" s="1" t="s">
        <v>56</v>
      </c>
      <c r="C834" s="1">
        <v>153.6</v>
      </c>
      <c r="D834" s="1">
        <v>4</v>
      </c>
    </row>
    <row r="835" spans="1:4" x14ac:dyDescent="0.25">
      <c r="A835" s="1">
        <f t="shared" si="18"/>
        <v>0</v>
      </c>
      <c r="B835" s="1" t="s">
        <v>40</v>
      </c>
      <c r="C835" s="1">
        <v>274</v>
      </c>
      <c r="D835" s="1">
        <v>5</v>
      </c>
    </row>
    <row r="836" spans="1:4" x14ac:dyDescent="0.25">
      <c r="A836" s="1">
        <f t="shared" si="18"/>
        <v>0</v>
      </c>
      <c r="B836" s="1" t="s">
        <v>27</v>
      </c>
      <c r="C836" s="1">
        <v>192</v>
      </c>
      <c r="D836" s="1">
        <v>6</v>
      </c>
    </row>
    <row r="837" spans="1:4" x14ac:dyDescent="0.25">
      <c r="A837" s="1">
        <f t="shared" si="18"/>
        <v>0</v>
      </c>
      <c r="B837" s="1" t="s">
        <v>49</v>
      </c>
      <c r="C837" s="1">
        <v>40</v>
      </c>
      <c r="D837" s="1">
        <v>1</v>
      </c>
    </row>
    <row r="838" spans="1:4" x14ac:dyDescent="0.25">
      <c r="A838" s="1">
        <f t="shared" si="18"/>
        <v>0</v>
      </c>
      <c r="B838" s="1" t="s">
        <v>67</v>
      </c>
      <c r="C838" s="1">
        <v>99.9</v>
      </c>
      <c r="D838" s="1">
        <v>2</v>
      </c>
    </row>
    <row r="839" spans="1:4" x14ac:dyDescent="0.25">
      <c r="A839" s="1">
        <f t="shared" si="18"/>
        <v>0</v>
      </c>
      <c r="B839" s="1" t="s">
        <v>9</v>
      </c>
      <c r="C839" s="1">
        <v>54.8</v>
      </c>
      <c r="D839" s="1">
        <v>2</v>
      </c>
    </row>
    <row r="840" spans="1:4" x14ac:dyDescent="0.25">
      <c r="A840" s="1">
        <f t="shared" si="18"/>
        <v>0</v>
      </c>
      <c r="B840" s="1" t="s">
        <v>69</v>
      </c>
      <c r="C840" s="1">
        <v>64</v>
      </c>
      <c r="D840" s="1">
        <v>1</v>
      </c>
    </row>
    <row r="841" spans="1:4" x14ac:dyDescent="0.25">
      <c r="A841" s="1">
        <f t="shared" si="18"/>
        <v>0</v>
      </c>
      <c r="B841" s="1" t="s">
        <v>25</v>
      </c>
      <c r="C841" s="1">
        <v>40</v>
      </c>
      <c r="D841" s="1">
        <v>1</v>
      </c>
    </row>
    <row r="842" spans="1:4" x14ac:dyDescent="0.25">
      <c r="A842" s="1">
        <f t="shared" si="18"/>
        <v>0</v>
      </c>
      <c r="B842" s="1" t="s">
        <v>6</v>
      </c>
      <c r="C842" s="1">
        <v>54.8</v>
      </c>
      <c r="D842" s="1">
        <v>1</v>
      </c>
    </row>
    <row r="843" spans="1:4" x14ac:dyDescent="0.25">
      <c r="A843" s="1">
        <f t="shared" si="18"/>
        <v>0</v>
      </c>
      <c r="B843" s="1" t="s">
        <v>43</v>
      </c>
      <c r="C843" s="1">
        <v>28.75</v>
      </c>
      <c r="D843" s="1">
        <v>1</v>
      </c>
    </row>
    <row r="844" spans="1:4" x14ac:dyDescent="0.25">
      <c r="A844" s="1">
        <f t="shared" si="18"/>
        <v>0</v>
      </c>
      <c r="B844" s="1" t="s">
        <v>44</v>
      </c>
      <c r="C844" s="1">
        <v>38.4</v>
      </c>
      <c r="D844" s="1">
        <v>1</v>
      </c>
    </row>
    <row r="845" spans="1:4" x14ac:dyDescent="0.25">
      <c r="A845" s="1">
        <f t="shared" si="18"/>
        <v>845</v>
      </c>
      <c r="B845" s="1" t="s">
        <v>98</v>
      </c>
    </row>
    <row r="846" spans="1:4" x14ac:dyDescent="0.25">
      <c r="A846" s="1">
        <f t="shared" si="18"/>
        <v>0</v>
      </c>
      <c r="B846" s="1" t="s">
        <v>1</v>
      </c>
      <c r="C846" s="1">
        <v>34</v>
      </c>
    </row>
    <row r="847" spans="1:4" x14ac:dyDescent="0.25">
      <c r="A847" s="1">
        <f t="shared" si="18"/>
        <v>0</v>
      </c>
      <c r="B847" s="1" t="s">
        <v>2</v>
      </c>
      <c r="C847" s="1">
        <v>1601.45</v>
      </c>
    </row>
    <row r="848" spans="1:4" x14ac:dyDescent="0.25">
      <c r="A848" s="1">
        <f t="shared" si="18"/>
        <v>0</v>
      </c>
      <c r="B848" s="1" t="s">
        <v>3</v>
      </c>
      <c r="C848" s="1" t="s">
        <v>4</v>
      </c>
      <c r="D848" s="1" t="s">
        <v>5</v>
      </c>
    </row>
    <row r="849" spans="1:4" x14ac:dyDescent="0.25">
      <c r="A849" s="1">
        <f t="shared" si="18"/>
        <v>0</v>
      </c>
      <c r="B849" s="1" t="s">
        <v>8</v>
      </c>
      <c r="C849" s="1">
        <v>712.4</v>
      </c>
      <c r="D849" s="1">
        <v>13</v>
      </c>
    </row>
    <row r="850" spans="1:4" x14ac:dyDescent="0.25">
      <c r="A850" s="1">
        <f t="shared" si="18"/>
        <v>0</v>
      </c>
      <c r="B850" s="1" t="s">
        <v>17</v>
      </c>
      <c r="C850" s="1">
        <v>192</v>
      </c>
      <c r="D850" s="1">
        <v>5</v>
      </c>
    </row>
    <row r="851" spans="1:4" x14ac:dyDescent="0.25">
      <c r="A851" s="1">
        <f t="shared" si="18"/>
        <v>0</v>
      </c>
      <c r="B851" s="1" t="s">
        <v>18</v>
      </c>
      <c r="C851" s="1">
        <v>153.6</v>
      </c>
      <c r="D851" s="1">
        <v>4</v>
      </c>
    </row>
    <row r="852" spans="1:4" x14ac:dyDescent="0.25">
      <c r="A852" s="1">
        <f t="shared" si="18"/>
        <v>0</v>
      </c>
      <c r="B852" s="1" t="s">
        <v>21</v>
      </c>
      <c r="C852" s="1">
        <v>164.4</v>
      </c>
      <c r="D852" s="1">
        <v>3</v>
      </c>
    </row>
    <row r="853" spans="1:4" x14ac:dyDescent="0.25">
      <c r="A853" s="1">
        <f t="shared" si="18"/>
        <v>0</v>
      </c>
      <c r="B853" s="1" t="s">
        <v>26</v>
      </c>
      <c r="C853" s="1">
        <v>37.5</v>
      </c>
      <c r="D853" s="1">
        <v>1</v>
      </c>
    </row>
    <row r="854" spans="1:4" x14ac:dyDescent="0.25">
      <c r="A854" s="1">
        <f t="shared" si="18"/>
        <v>0</v>
      </c>
      <c r="B854" s="1" t="s">
        <v>40</v>
      </c>
      <c r="C854" s="1">
        <v>54.8</v>
      </c>
      <c r="D854" s="1">
        <v>1</v>
      </c>
    </row>
    <row r="855" spans="1:4" x14ac:dyDescent="0.25">
      <c r="A855" s="1">
        <f t="shared" si="18"/>
        <v>0</v>
      </c>
      <c r="B855" s="1" t="s">
        <v>49</v>
      </c>
      <c r="C855" s="1">
        <v>40</v>
      </c>
      <c r="D855" s="1">
        <v>1</v>
      </c>
    </row>
    <row r="856" spans="1:4" x14ac:dyDescent="0.25">
      <c r="A856" s="1">
        <f t="shared" si="18"/>
        <v>0</v>
      </c>
      <c r="B856" s="1" t="s">
        <v>12</v>
      </c>
      <c r="C856" s="1">
        <v>70</v>
      </c>
      <c r="D856" s="1">
        <v>2</v>
      </c>
    </row>
    <row r="857" spans="1:4" x14ac:dyDescent="0.25">
      <c r="A857" s="1">
        <f t="shared" si="18"/>
        <v>0</v>
      </c>
      <c r="B857" s="1" t="s">
        <v>22</v>
      </c>
      <c r="C857" s="1">
        <v>109.6</v>
      </c>
      <c r="D857" s="1">
        <v>2</v>
      </c>
    </row>
    <row r="858" spans="1:4" x14ac:dyDescent="0.25">
      <c r="A858" s="1">
        <f t="shared" si="18"/>
        <v>0</v>
      </c>
      <c r="B858" s="1" t="s">
        <v>41</v>
      </c>
      <c r="C858" s="1">
        <v>28.75</v>
      </c>
      <c r="D858" s="1">
        <v>1</v>
      </c>
    </row>
    <row r="859" spans="1:4" x14ac:dyDescent="0.25">
      <c r="A859" s="1">
        <f t="shared" si="18"/>
        <v>0</v>
      </c>
      <c r="B859" s="1" t="s">
        <v>20</v>
      </c>
      <c r="C859" s="1">
        <v>38.4</v>
      </c>
      <c r="D859" s="1">
        <v>1</v>
      </c>
    </row>
    <row r="860" spans="1:4" x14ac:dyDescent="0.25">
      <c r="A860" s="1">
        <f t="shared" si="18"/>
        <v>860</v>
      </c>
      <c r="B860" s="1" t="s">
        <v>99</v>
      </c>
    </row>
    <row r="861" spans="1:4" x14ac:dyDescent="0.25">
      <c r="A861" s="1">
        <f t="shared" si="18"/>
        <v>0</v>
      </c>
      <c r="B861" s="1" t="s">
        <v>1</v>
      </c>
      <c r="C861" s="1">
        <v>111</v>
      </c>
    </row>
    <row r="862" spans="1:4" x14ac:dyDescent="0.25">
      <c r="A862" s="1">
        <f t="shared" si="18"/>
        <v>0</v>
      </c>
      <c r="B862" s="1" t="s">
        <v>2</v>
      </c>
      <c r="C862" s="1">
        <v>4570.95</v>
      </c>
    </row>
    <row r="863" spans="1:4" x14ac:dyDescent="0.25">
      <c r="A863" s="1">
        <f t="shared" si="18"/>
        <v>0</v>
      </c>
      <c r="B863" s="1" t="s">
        <v>3</v>
      </c>
      <c r="C863" s="1" t="s">
        <v>4</v>
      </c>
      <c r="D863" s="1" t="s">
        <v>5</v>
      </c>
    </row>
    <row r="864" spans="1:4" x14ac:dyDescent="0.25">
      <c r="A864" s="1">
        <f t="shared" si="18"/>
        <v>0</v>
      </c>
      <c r="B864" s="1" t="s">
        <v>16</v>
      </c>
      <c r="C864" s="1">
        <v>176</v>
      </c>
      <c r="D864" s="1">
        <v>7</v>
      </c>
    </row>
    <row r="865" spans="1:4" x14ac:dyDescent="0.25">
      <c r="A865" s="1">
        <f t="shared" si="18"/>
        <v>0</v>
      </c>
      <c r="B865" s="1" t="s">
        <v>20</v>
      </c>
      <c r="C865" s="1">
        <v>691.2</v>
      </c>
      <c r="D865" s="1">
        <v>19</v>
      </c>
    </row>
    <row r="866" spans="1:4" x14ac:dyDescent="0.25">
      <c r="A866" s="1">
        <f t="shared" si="18"/>
        <v>0</v>
      </c>
      <c r="B866" s="1" t="s">
        <v>8</v>
      </c>
      <c r="C866" s="1">
        <v>986.4</v>
      </c>
      <c r="D866" s="1">
        <v>18</v>
      </c>
    </row>
    <row r="867" spans="1:4" x14ac:dyDescent="0.25">
      <c r="A867" s="1">
        <f t="shared" si="18"/>
        <v>0</v>
      </c>
      <c r="B867" s="1" t="s">
        <v>18</v>
      </c>
      <c r="C867" s="1">
        <v>268.8</v>
      </c>
      <c r="D867" s="1">
        <v>7</v>
      </c>
    </row>
    <row r="868" spans="1:4" x14ac:dyDescent="0.25">
      <c r="A868" s="1">
        <f t="shared" si="18"/>
        <v>0</v>
      </c>
      <c r="B868" s="1" t="s">
        <v>17</v>
      </c>
      <c r="C868" s="1">
        <v>460.8</v>
      </c>
      <c r="D868" s="1">
        <v>12</v>
      </c>
    </row>
    <row r="869" spans="1:4" x14ac:dyDescent="0.25">
      <c r="A869" s="1">
        <f t="shared" si="18"/>
        <v>0</v>
      </c>
      <c r="B869" s="1" t="s">
        <v>49</v>
      </c>
      <c r="C869" s="1">
        <v>240</v>
      </c>
      <c r="D869" s="1">
        <v>6</v>
      </c>
    </row>
    <row r="870" spans="1:4" x14ac:dyDescent="0.25">
      <c r="A870" s="1">
        <f t="shared" si="18"/>
        <v>0</v>
      </c>
      <c r="B870" s="1" t="s">
        <v>7</v>
      </c>
      <c r="C870" s="1">
        <v>109.6</v>
      </c>
      <c r="D870" s="1">
        <v>2</v>
      </c>
    </row>
    <row r="871" spans="1:4" x14ac:dyDescent="0.25">
      <c r="A871" s="1">
        <f t="shared" si="18"/>
        <v>0</v>
      </c>
      <c r="B871" s="1" t="s">
        <v>14</v>
      </c>
      <c r="C871" s="1">
        <v>28.75</v>
      </c>
      <c r="D871" s="1">
        <v>1</v>
      </c>
    </row>
    <row r="872" spans="1:4" x14ac:dyDescent="0.25">
      <c r="A872" s="1">
        <f t="shared" si="18"/>
        <v>0</v>
      </c>
      <c r="B872" s="1" t="s">
        <v>21</v>
      </c>
      <c r="C872" s="1">
        <v>54.8</v>
      </c>
      <c r="D872" s="1">
        <v>1</v>
      </c>
    </row>
    <row r="873" spans="1:4" x14ac:dyDescent="0.25">
      <c r="A873" s="1">
        <f t="shared" si="18"/>
        <v>0</v>
      </c>
      <c r="B873" s="1" t="s">
        <v>12</v>
      </c>
      <c r="C873" s="1">
        <v>280</v>
      </c>
      <c r="D873" s="1">
        <v>8</v>
      </c>
    </row>
    <row r="874" spans="1:4" x14ac:dyDescent="0.25">
      <c r="A874" s="1">
        <f t="shared" si="18"/>
        <v>0</v>
      </c>
      <c r="B874" s="1" t="s">
        <v>9</v>
      </c>
      <c r="C874" s="1">
        <v>54.8</v>
      </c>
      <c r="D874" s="1">
        <v>1</v>
      </c>
    </row>
    <row r="875" spans="1:4" x14ac:dyDescent="0.25">
      <c r="A875" s="1">
        <f t="shared" si="18"/>
        <v>0</v>
      </c>
      <c r="B875" s="1" t="s">
        <v>15</v>
      </c>
      <c r="C875" s="1">
        <v>340</v>
      </c>
      <c r="D875" s="1">
        <v>6</v>
      </c>
    </row>
    <row r="876" spans="1:4" x14ac:dyDescent="0.25">
      <c r="A876" s="1">
        <f t="shared" si="18"/>
        <v>0</v>
      </c>
      <c r="B876" s="1" t="s">
        <v>40</v>
      </c>
      <c r="C876" s="1">
        <v>109.6</v>
      </c>
      <c r="D876" s="1">
        <v>2</v>
      </c>
    </row>
    <row r="877" spans="1:4" x14ac:dyDescent="0.25">
      <c r="A877" s="1">
        <f t="shared" si="18"/>
        <v>0</v>
      </c>
      <c r="B877" s="1" t="s">
        <v>35</v>
      </c>
      <c r="C877" s="1">
        <v>38.4</v>
      </c>
      <c r="D877" s="1">
        <v>1</v>
      </c>
    </row>
    <row r="878" spans="1:4" x14ac:dyDescent="0.25">
      <c r="A878" s="1">
        <f t="shared" si="18"/>
        <v>0</v>
      </c>
      <c r="B878" s="1" t="s">
        <v>11</v>
      </c>
      <c r="C878" s="1">
        <v>80</v>
      </c>
      <c r="D878" s="1">
        <v>2</v>
      </c>
    </row>
    <row r="879" spans="1:4" x14ac:dyDescent="0.25">
      <c r="A879" s="1">
        <f t="shared" si="18"/>
        <v>0</v>
      </c>
      <c r="B879" s="1" t="s">
        <v>32</v>
      </c>
      <c r="C879" s="1">
        <v>38.4</v>
      </c>
      <c r="D879" s="1">
        <v>1</v>
      </c>
    </row>
    <row r="880" spans="1:4" x14ac:dyDescent="0.25">
      <c r="A880" s="1">
        <f t="shared" si="18"/>
        <v>0</v>
      </c>
      <c r="B880" s="1" t="s">
        <v>51</v>
      </c>
      <c r="C880" s="1">
        <v>38.4</v>
      </c>
      <c r="D880" s="1">
        <v>1</v>
      </c>
    </row>
    <row r="881" spans="1:4" x14ac:dyDescent="0.25">
      <c r="A881" s="1">
        <f t="shared" si="18"/>
        <v>0</v>
      </c>
      <c r="B881" s="1" t="s">
        <v>22</v>
      </c>
      <c r="C881" s="1">
        <v>54.8</v>
      </c>
      <c r="D881" s="1">
        <v>1</v>
      </c>
    </row>
    <row r="882" spans="1:4" x14ac:dyDescent="0.25">
      <c r="A882" s="1">
        <f t="shared" si="18"/>
        <v>0</v>
      </c>
      <c r="B882" s="1" t="s">
        <v>33</v>
      </c>
      <c r="C882" s="1">
        <v>80</v>
      </c>
      <c r="D882" s="1">
        <v>2</v>
      </c>
    </row>
    <row r="883" spans="1:4" x14ac:dyDescent="0.25">
      <c r="A883" s="1">
        <f t="shared" si="18"/>
        <v>0</v>
      </c>
      <c r="B883" s="1" t="s">
        <v>27</v>
      </c>
      <c r="C883" s="1">
        <v>76.8</v>
      </c>
      <c r="D883" s="1">
        <v>2</v>
      </c>
    </row>
    <row r="884" spans="1:4" x14ac:dyDescent="0.25">
      <c r="A884" s="1">
        <f t="shared" si="18"/>
        <v>0</v>
      </c>
      <c r="B884" s="1" t="s">
        <v>54</v>
      </c>
      <c r="C884" s="1">
        <v>115.2</v>
      </c>
      <c r="D884" s="1">
        <v>3</v>
      </c>
    </row>
    <row r="885" spans="1:4" x14ac:dyDescent="0.25">
      <c r="A885" s="1">
        <f t="shared" si="18"/>
        <v>0</v>
      </c>
      <c r="B885" s="1" t="s">
        <v>6</v>
      </c>
      <c r="C885" s="1">
        <v>54.8</v>
      </c>
      <c r="D885" s="1">
        <v>1</v>
      </c>
    </row>
    <row r="886" spans="1:4" x14ac:dyDescent="0.25">
      <c r="A886" s="1">
        <f t="shared" si="18"/>
        <v>0</v>
      </c>
      <c r="B886" s="1" t="s">
        <v>41</v>
      </c>
      <c r="C886" s="1">
        <v>86.25</v>
      </c>
      <c r="D886" s="1">
        <v>4</v>
      </c>
    </row>
    <row r="887" spans="1:4" x14ac:dyDescent="0.25">
      <c r="A887" s="1">
        <f t="shared" si="18"/>
        <v>0</v>
      </c>
      <c r="B887" s="1" t="s">
        <v>45</v>
      </c>
      <c r="C887" s="1">
        <v>28.75</v>
      </c>
      <c r="D887" s="1">
        <v>1</v>
      </c>
    </row>
    <row r="888" spans="1:4" x14ac:dyDescent="0.25">
      <c r="A888" s="1">
        <f t="shared" si="18"/>
        <v>0</v>
      </c>
      <c r="B888" s="1" t="s">
        <v>62</v>
      </c>
      <c r="C888" s="1">
        <v>38.4</v>
      </c>
      <c r="D888" s="1">
        <v>1</v>
      </c>
    </row>
    <row r="889" spans="1:4" x14ac:dyDescent="0.25">
      <c r="A889" s="1">
        <f t="shared" si="18"/>
        <v>0</v>
      </c>
      <c r="B889" s="1" t="s">
        <v>57</v>
      </c>
      <c r="C889" s="1">
        <v>40</v>
      </c>
      <c r="D889" s="1">
        <v>1</v>
      </c>
    </row>
    <row r="890" spans="1:4" x14ac:dyDescent="0.25">
      <c r="A890" s="1">
        <f t="shared" si="18"/>
        <v>890</v>
      </c>
      <c r="B890" s="1" t="s">
        <v>100</v>
      </c>
    </row>
    <row r="891" spans="1:4" x14ac:dyDescent="0.25">
      <c r="A891" s="1">
        <f t="shared" si="18"/>
        <v>0</v>
      </c>
      <c r="B891" s="1" t="s">
        <v>1</v>
      </c>
      <c r="C891" s="1">
        <v>26</v>
      </c>
    </row>
    <row r="892" spans="1:4" x14ac:dyDescent="0.25">
      <c r="A892" s="1">
        <f t="shared" si="18"/>
        <v>0</v>
      </c>
      <c r="B892" s="1" t="s">
        <v>2</v>
      </c>
      <c r="C892" s="1">
        <v>1149.8499999999999</v>
      </c>
    </row>
    <row r="893" spans="1:4" x14ac:dyDescent="0.25">
      <c r="A893" s="1">
        <f t="shared" si="18"/>
        <v>0</v>
      </c>
      <c r="B893" s="1" t="s">
        <v>3</v>
      </c>
      <c r="C893" s="1" t="s">
        <v>4</v>
      </c>
      <c r="D893" s="1" t="s">
        <v>5</v>
      </c>
    </row>
    <row r="894" spans="1:4" x14ac:dyDescent="0.25">
      <c r="A894" s="1">
        <f t="shared" si="18"/>
        <v>0</v>
      </c>
      <c r="B894" s="1" t="s">
        <v>17</v>
      </c>
      <c r="C894" s="1">
        <v>153.6</v>
      </c>
      <c r="D894" s="1">
        <v>4</v>
      </c>
    </row>
    <row r="895" spans="1:4" x14ac:dyDescent="0.25">
      <c r="A895" s="1">
        <f t="shared" si="18"/>
        <v>0</v>
      </c>
      <c r="B895" s="1" t="s">
        <v>7</v>
      </c>
      <c r="C895" s="1">
        <v>164.4</v>
      </c>
      <c r="D895" s="1">
        <v>3</v>
      </c>
    </row>
    <row r="896" spans="1:4" x14ac:dyDescent="0.25">
      <c r="A896" s="1">
        <f t="shared" si="18"/>
        <v>0</v>
      </c>
      <c r="B896" s="1" t="s">
        <v>18</v>
      </c>
      <c r="C896" s="1">
        <v>76.8</v>
      </c>
      <c r="D896" s="1">
        <v>2</v>
      </c>
    </row>
    <row r="897" spans="1:4" x14ac:dyDescent="0.25">
      <c r="A897" s="1">
        <f t="shared" si="18"/>
        <v>0</v>
      </c>
      <c r="B897" s="1" t="s">
        <v>20</v>
      </c>
      <c r="C897" s="1">
        <v>76.8</v>
      </c>
      <c r="D897" s="1">
        <v>2</v>
      </c>
    </row>
    <row r="898" spans="1:4" x14ac:dyDescent="0.25">
      <c r="A898" s="1">
        <f t="shared" ref="A898:A961" si="19">IF(COUNTIF($V$3:$Y$99, $B898)&lt;&gt;0, ROW($B898), 0)</f>
        <v>0</v>
      </c>
      <c r="B898" s="1" t="s">
        <v>8</v>
      </c>
      <c r="C898" s="1">
        <v>328.8</v>
      </c>
      <c r="D898" s="1">
        <v>6</v>
      </c>
    </row>
    <row r="899" spans="1:4" x14ac:dyDescent="0.25">
      <c r="A899" s="1">
        <f t="shared" si="19"/>
        <v>0</v>
      </c>
      <c r="B899" s="1" t="s">
        <v>21</v>
      </c>
      <c r="C899" s="1">
        <v>109.6</v>
      </c>
      <c r="D899" s="1">
        <v>2</v>
      </c>
    </row>
    <row r="900" spans="1:4" x14ac:dyDescent="0.25">
      <c r="A900" s="1">
        <f t="shared" si="19"/>
        <v>0</v>
      </c>
      <c r="B900" s="1" t="s">
        <v>54</v>
      </c>
      <c r="C900" s="1">
        <v>76.8</v>
      </c>
      <c r="D900" s="1">
        <v>2</v>
      </c>
    </row>
    <row r="901" spans="1:4" x14ac:dyDescent="0.25">
      <c r="A901" s="1">
        <f t="shared" si="19"/>
        <v>0</v>
      </c>
      <c r="B901" s="1" t="s">
        <v>51</v>
      </c>
      <c r="C901" s="1">
        <v>76.8</v>
      </c>
      <c r="D901" s="1">
        <v>2</v>
      </c>
    </row>
    <row r="902" spans="1:4" x14ac:dyDescent="0.25">
      <c r="A902" s="1">
        <f t="shared" si="19"/>
        <v>0</v>
      </c>
      <c r="B902" s="1" t="s">
        <v>41</v>
      </c>
      <c r="C902" s="1">
        <v>57.5</v>
      </c>
      <c r="D902" s="1">
        <v>2</v>
      </c>
    </row>
    <row r="903" spans="1:4" x14ac:dyDescent="0.25">
      <c r="A903" s="1">
        <f t="shared" si="19"/>
        <v>0</v>
      </c>
      <c r="B903" s="1" t="s">
        <v>43</v>
      </c>
      <c r="C903" s="1">
        <v>28.75</v>
      </c>
      <c r="D903" s="1">
        <v>1</v>
      </c>
    </row>
    <row r="904" spans="1:4" x14ac:dyDescent="0.25">
      <c r="A904" s="1">
        <f t="shared" si="19"/>
        <v>904</v>
      </c>
      <c r="B904" s="1" t="s">
        <v>101</v>
      </c>
    </row>
    <row r="905" spans="1:4" x14ac:dyDescent="0.25">
      <c r="A905" s="1">
        <f t="shared" si="19"/>
        <v>0</v>
      </c>
      <c r="B905" s="1" t="s">
        <v>1</v>
      </c>
      <c r="C905" s="1">
        <v>95</v>
      </c>
    </row>
    <row r="906" spans="1:4" x14ac:dyDescent="0.25">
      <c r="A906" s="1">
        <f t="shared" si="19"/>
        <v>0</v>
      </c>
      <c r="B906" s="1" t="s">
        <v>2</v>
      </c>
      <c r="C906" s="1">
        <v>4084.1</v>
      </c>
    </row>
    <row r="907" spans="1:4" x14ac:dyDescent="0.25">
      <c r="A907" s="1">
        <f t="shared" si="19"/>
        <v>0</v>
      </c>
      <c r="B907" s="1" t="s">
        <v>3</v>
      </c>
      <c r="C907" s="1" t="s">
        <v>4</v>
      </c>
      <c r="D907" s="1" t="s">
        <v>5</v>
      </c>
    </row>
    <row r="908" spans="1:4" x14ac:dyDescent="0.25">
      <c r="A908" s="1">
        <f t="shared" si="19"/>
        <v>0</v>
      </c>
      <c r="B908" s="1" t="s">
        <v>49</v>
      </c>
      <c r="C908" s="1">
        <v>80</v>
      </c>
      <c r="D908" s="1">
        <v>2</v>
      </c>
    </row>
    <row r="909" spans="1:4" x14ac:dyDescent="0.25">
      <c r="A909" s="1">
        <f t="shared" si="19"/>
        <v>0</v>
      </c>
      <c r="B909" s="1" t="s">
        <v>15</v>
      </c>
      <c r="C909" s="1">
        <v>136</v>
      </c>
      <c r="D909" s="1">
        <v>2</v>
      </c>
    </row>
    <row r="910" spans="1:4" x14ac:dyDescent="0.25">
      <c r="A910" s="1">
        <f t="shared" si="19"/>
        <v>0</v>
      </c>
      <c r="B910" s="1" t="s">
        <v>8</v>
      </c>
      <c r="C910" s="1">
        <v>876.8</v>
      </c>
      <c r="D910" s="1">
        <v>16</v>
      </c>
    </row>
    <row r="911" spans="1:4" x14ac:dyDescent="0.25">
      <c r="A911" s="1">
        <f t="shared" si="19"/>
        <v>0</v>
      </c>
      <c r="B911" s="1" t="s">
        <v>20</v>
      </c>
      <c r="C911" s="1">
        <v>230.4</v>
      </c>
      <c r="D911" s="1">
        <v>7</v>
      </c>
    </row>
    <row r="912" spans="1:4" x14ac:dyDescent="0.25">
      <c r="A912" s="1">
        <f t="shared" si="19"/>
        <v>0</v>
      </c>
      <c r="B912" s="1" t="s">
        <v>14</v>
      </c>
      <c r="C912" s="1">
        <v>57.5</v>
      </c>
      <c r="D912" s="1">
        <v>2</v>
      </c>
    </row>
    <row r="913" spans="1:4" x14ac:dyDescent="0.25">
      <c r="A913" s="1">
        <f t="shared" si="19"/>
        <v>0</v>
      </c>
      <c r="B913" s="1" t="s">
        <v>17</v>
      </c>
      <c r="C913" s="1">
        <v>345.6</v>
      </c>
      <c r="D913" s="1">
        <v>9</v>
      </c>
    </row>
    <row r="914" spans="1:4" x14ac:dyDescent="0.25">
      <c r="A914" s="1">
        <f t="shared" si="19"/>
        <v>0</v>
      </c>
      <c r="B914" s="1" t="s">
        <v>52</v>
      </c>
      <c r="C914" s="1">
        <v>64</v>
      </c>
      <c r="D914" s="1">
        <v>1</v>
      </c>
    </row>
    <row r="915" spans="1:4" x14ac:dyDescent="0.25">
      <c r="A915" s="1">
        <f t="shared" si="19"/>
        <v>0</v>
      </c>
      <c r="B915" s="1" t="s">
        <v>22</v>
      </c>
      <c r="C915" s="1">
        <v>164.4</v>
      </c>
      <c r="D915" s="1">
        <v>3</v>
      </c>
    </row>
    <row r="916" spans="1:4" x14ac:dyDescent="0.25">
      <c r="A916" s="1">
        <f t="shared" si="19"/>
        <v>0</v>
      </c>
      <c r="B916" s="1" t="s">
        <v>12</v>
      </c>
      <c r="C916" s="1">
        <v>245</v>
      </c>
      <c r="D916" s="1">
        <v>7</v>
      </c>
    </row>
    <row r="917" spans="1:4" x14ac:dyDescent="0.25">
      <c r="A917" s="1">
        <f t="shared" si="19"/>
        <v>0</v>
      </c>
      <c r="B917" s="1" t="s">
        <v>10</v>
      </c>
      <c r="C917" s="1">
        <v>76.8</v>
      </c>
      <c r="D917" s="1">
        <v>2</v>
      </c>
    </row>
    <row r="918" spans="1:4" x14ac:dyDescent="0.25">
      <c r="A918" s="1">
        <f t="shared" si="19"/>
        <v>0</v>
      </c>
      <c r="B918" s="1" t="s">
        <v>21</v>
      </c>
      <c r="C918" s="1">
        <v>274</v>
      </c>
      <c r="D918" s="1">
        <v>5</v>
      </c>
    </row>
    <row r="919" spans="1:4" x14ac:dyDescent="0.25">
      <c r="A919" s="1">
        <f t="shared" si="19"/>
        <v>0</v>
      </c>
      <c r="B919" s="1" t="s">
        <v>6</v>
      </c>
      <c r="C919" s="1">
        <v>109.6</v>
      </c>
      <c r="D919" s="1">
        <v>2</v>
      </c>
    </row>
    <row r="920" spans="1:4" x14ac:dyDescent="0.25">
      <c r="A920" s="1">
        <f t="shared" si="19"/>
        <v>0</v>
      </c>
      <c r="B920" s="1" t="s">
        <v>40</v>
      </c>
      <c r="C920" s="1">
        <v>54.8</v>
      </c>
      <c r="D920" s="1">
        <v>2</v>
      </c>
    </row>
    <row r="921" spans="1:4" x14ac:dyDescent="0.25">
      <c r="A921" s="1">
        <f t="shared" si="19"/>
        <v>0</v>
      </c>
      <c r="B921" s="1" t="s">
        <v>18</v>
      </c>
      <c r="C921" s="1">
        <v>422.4</v>
      </c>
      <c r="D921" s="1">
        <v>11</v>
      </c>
    </row>
    <row r="922" spans="1:4" x14ac:dyDescent="0.25">
      <c r="A922" s="1">
        <f t="shared" si="19"/>
        <v>0</v>
      </c>
      <c r="B922" s="1" t="s">
        <v>26</v>
      </c>
      <c r="C922" s="1">
        <v>75</v>
      </c>
      <c r="D922" s="1">
        <v>2</v>
      </c>
    </row>
    <row r="923" spans="1:4" x14ac:dyDescent="0.25">
      <c r="A923" s="1">
        <f t="shared" si="19"/>
        <v>0</v>
      </c>
      <c r="B923" s="1" t="s">
        <v>13</v>
      </c>
      <c r="C923" s="1">
        <v>38.4</v>
      </c>
      <c r="D923" s="1">
        <v>1</v>
      </c>
    </row>
    <row r="924" spans="1:4" x14ac:dyDescent="0.25">
      <c r="A924" s="1">
        <f t="shared" si="19"/>
        <v>0</v>
      </c>
      <c r="B924" s="1" t="s">
        <v>37</v>
      </c>
      <c r="C924" s="1">
        <v>164.4</v>
      </c>
      <c r="D924" s="1">
        <v>3</v>
      </c>
    </row>
    <row r="925" spans="1:4" x14ac:dyDescent="0.25">
      <c r="A925" s="1">
        <f t="shared" si="19"/>
        <v>0</v>
      </c>
      <c r="B925" s="1" t="s">
        <v>33</v>
      </c>
      <c r="C925" s="1">
        <v>160</v>
      </c>
      <c r="D925" s="1">
        <v>4</v>
      </c>
    </row>
    <row r="926" spans="1:4" x14ac:dyDescent="0.25">
      <c r="A926" s="1">
        <f t="shared" si="19"/>
        <v>0</v>
      </c>
      <c r="B926" s="1" t="s">
        <v>53</v>
      </c>
      <c r="C926" s="1">
        <v>28.75</v>
      </c>
      <c r="D926" s="1">
        <v>2</v>
      </c>
    </row>
    <row r="927" spans="1:4" x14ac:dyDescent="0.25">
      <c r="A927" s="1">
        <f t="shared" si="19"/>
        <v>0</v>
      </c>
      <c r="B927" s="1" t="s">
        <v>36</v>
      </c>
      <c r="C927" s="1">
        <v>38.4</v>
      </c>
      <c r="D927" s="1">
        <v>1</v>
      </c>
    </row>
    <row r="928" spans="1:4" x14ac:dyDescent="0.25">
      <c r="A928" s="1">
        <f t="shared" si="19"/>
        <v>0</v>
      </c>
      <c r="B928" s="1" t="s">
        <v>19</v>
      </c>
      <c r="C928" s="1">
        <v>28.75</v>
      </c>
      <c r="D928" s="1">
        <v>1</v>
      </c>
    </row>
    <row r="929" spans="1:4" x14ac:dyDescent="0.25">
      <c r="A929" s="1">
        <f t="shared" si="19"/>
        <v>0</v>
      </c>
      <c r="B929" s="1" t="s">
        <v>41</v>
      </c>
      <c r="C929" s="1">
        <v>28.75</v>
      </c>
      <c r="D929" s="1">
        <v>1</v>
      </c>
    </row>
    <row r="930" spans="1:4" x14ac:dyDescent="0.25">
      <c r="A930" s="1">
        <f t="shared" si="19"/>
        <v>0</v>
      </c>
      <c r="B930" s="1" t="s">
        <v>34</v>
      </c>
      <c r="C930" s="1">
        <v>64</v>
      </c>
      <c r="D930" s="1">
        <v>1</v>
      </c>
    </row>
    <row r="931" spans="1:4" x14ac:dyDescent="0.25">
      <c r="A931" s="1">
        <f t="shared" si="19"/>
        <v>0</v>
      </c>
      <c r="B931" s="1" t="s">
        <v>55</v>
      </c>
      <c r="C931" s="1">
        <v>76.8</v>
      </c>
      <c r="D931" s="1">
        <v>2</v>
      </c>
    </row>
    <row r="932" spans="1:4" x14ac:dyDescent="0.25">
      <c r="A932" s="1">
        <f t="shared" si="19"/>
        <v>0</v>
      </c>
      <c r="B932" s="1" t="s">
        <v>27</v>
      </c>
      <c r="C932" s="1">
        <v>76.8</v>
      </c>
      <c r="D932" s="1">
        <v>2</v>
      </c>
    </row>
    <row r="933" spans="1:4" x14ac:dyDescent="0.25">
      <c r="A933" s="1">
        <f t="shared" si="19"/>
        <v>0</v>
      </c>
      <c r="B933" s="1" t="s">
        <v>54</v>
      </c>
      <c r="C933" s="1">
        <v>76.8</v>
      </c>
      <c r="D933" s="1">
        <v>2</v>
      </c>
    </row>
    <row r="934" spans="1:4" x14ac:dyDescent="0.25">
      <c r="A934" s="1">
        <f t="shared" si="19"/>
        <v>0</v>
      </c>
      <c r="B934" s="1" t="s">
        <v>67</v>
      </c>
      <c r="C934" s="1">
        <v>49.95</v>
      </c>
      <c r="D934" s="1">
        <v>1</v>
      </c>
    </row>
    <row r="935" spans="1:4" x14ac:dyDescent="0.25">
      <c r="A935" s="1">
        <f t="shared" si="19"/>
        <v>0</v>
      </c>
      <c r="B935" s="1" t="s">
        <v>57</v>
      </c>
      <c r="C935" s="1">
        <v>40</v>
      </c>
      <c r="D935" s="1">
        <v>1</v>
      </c>
    </row>
    <row r="936" spans="1:4" x14ac:dyDescent="0.25">
      <c r="A936" s="1">
        <f t="shared" si="19"/>
        <v>936</v>
      </c>
      <c r="B936" s="1" t="s">
        <v>102</v>
      </c>
    </row>
    <row r="937" spans="1:4" x14ac:dyDescent="0.25">
      <c r="A937" s="1">
        <f t="shared" si="19"/>
        <v>0</v>
      </c>
      <c r="B937" s="1" t="s">
        <v>1</v>
      </c>
      <c r="C937" s="1">
        <v>77</v>
      </c>
    </row>
    <row r="938" spans="1:4" x14ac:dyDescent="0.25">
      <c r="A938" s="1">
        <f t="shared" si="19"/>
        <v>0</v>
      </c>
      <c r="B938" s="1" t="s">
        <v>2</v>
      </c>
      <c r="C938" s="1">
        <v>3195.66</v>
      </c>
    </row>
    <row r="939" spans="1:4" x14ac:dyDescent="0.25">
      <c r="A939" s="1">
        <f t="shared" si="19"/>
        <v>0</v>
      </c>
      <c r="B939" s="1" t="s">
        <v>3</v>
      </c>
      <c r="C939" s="1" t="s">
        <v>4</v>
      </c>
      <c r="D939" s="1" t="s">
        <v>5</v>
      </c>
    </row>
    <row r="940" spans="1:4" x14ac:dyDescent="0.25">
      <c r="A940" s="1">
        <f t="shared" si="19"/>
        <v>0</v>
      </c>
      <c r="B940" s="1" t="s">
        <v>16</v>
      </c>
      <c r="C940" s="1">
        <v>105.6</v>
      </c>
      <c r="D940" s="1">
        <v>3</v>
      </c>
    </row>
    <row r="941" spans="1:4" x14ac:dyDescent="0.25">
      <c r="A941" s="1">
        <f t="shared" si="19"/>
        <v>0</v>
      </c>
      <c r="B941" s="1" t="s">
        <v>20</v>
      </c>
      <c r="C941" s="1">
        <v>460.8</v>
      </c>
      <c r="D941" s="1">
        <v>12</v>
      </c>
    </row>
    <row r="942" spans="1:4" x14ac:dyDescent="0.25">
      <c r="A942" s="1">
        <f t="shared" si="19"/>
        <v>0</v>
      </c>
      <c r="B942" s="1" t="s">
        <v>13</v>
      </c>
      <c r="C942" s="1">
        <v>38.4</v>
      </c>
      <c r="D942" s="1">
        <v>1</v>
      </c>
    </row>
    <row r="943" spans="1:4" x14ac:dyDescent="0.25">
      <c r="A943" s="1">
        <f t="shared" si="19"/>
        <v>0</v>
      </c>
      <c r="B943" s="1" t="s">
        <v>21</v>
      </c>
      <c r="C943" s="1">
        <v>219.2</v>
      </c>
      <c r="D943" s="1">
        <v>4</v>
      </c>
    </row>
    <row r="944" spans="1:4" x14ac:dyDescent="0.25">
      <c r="A944" s="1">
        <f t="shared" si="19"/>
        <v>0</v>
      </c>
      <c r="B944" s="1" t="s">
        <v>17</v>
      </c>
      <c r="C944" s="1">
        <v>230.4</v>
      </c>
      <c r="D944" s="1">
        <v>7</v>
      </c>
    </row>
    <row r="945" spans="1:4" x14ac:dyDescent="0.25">
      <c r="A945" s="1">
        <f t="shared" si="19"/>
        <v>0</v>
      </c>
      <c r="B945" s="1" t="s">
        <v>12</v>
      </c>
      <c r="C945" s="1">
        <v>105</v>
      </c>
      <c r="D945" s="1">
        <v>3</v>
      </c>
    </row>
    <row r="946" spans="1:4" x14ac:dyDescent="0.25">
      <c r="A946" s="1">
        <f t="shared" si="19"/>
        <v>0</v>
      </c>
      <c r="B946" s="1" t="s">
        <v>51</v>
      </c>
      <c r="C946" s="1">
        <v>38.4</v>
      </c>
      <c r="D946" s="1">
        <v>1</v>
      </c>
    </row>
    <row r="947" spans="1:4" x14ac:dyDescent="0.25">
      <c r="A947" s="1">
        <f t="shared" si="19"/>
        <v>0</v>
      </c>
      <c r="B947" s="1" t="s">
        <v>31</v>
      </c>
      <c r="C947" s="1">
        <v>34.56</v>
      </c>
      <c r="D947" s="1">
        <v>1</v>
      </c>
    </row>
    <row r="948" spans="1:4" x14ac:dyDescent="0.25">
      <c r="A948" s="1">
        <f t="shared" si="19"/>
        <v>0</v>
      </c>
      <c r="B948" s="1" t="s">
        <v>26</v>
      </c>
      <c r="C948" s="1">
        <v>37.5</v>
      </c>
      <c r="D948" s="1">
        <v>1</v>
      </c>
    </row>
    <row r="949" spans="1:4" x14ac:dyDescent="0.25">
      <c r="A949" s="1">
        <f t="shared" si="19"/>
        <v>0</v>
      </c>
      <c r="B949" s="1" t="s">
        <v>10</v>
      </c>
      <c r="C949" s="1">
        <v>76.8</v>
      </c>
      <c r="D949" s="1">
        <v>2</v>
      </c>
    </row>
    <row r="950" spans="1:4" x14ac:dyDescent="0.25">
      <c r="A950" s="1">
        <f t="shared" si="19"/>
        <v>0</v>
      </c>
      <c r="B950" s="1" t="s">
        <v>8</v>
      </c>
      <c r="C950" s="1">
        <v>602.79999999999995</v>
      </c>
      <c r="D950" s="1">
        <v>11</v>
      </c>
    </row>
    <row r="951" spans="1:4" x14ac:dyDescent="0.25">
      <c r="A951" s="1">
        <f t="shared" si="19"/>
        <v>0</v>
      </c>
      <c r="B951" s="1" t="s">
        <v>32</v>
      </c>
      <c r="C951" s="1">
        <v>115.2</v>
      </c>
      <c r="D951" s="1">
        <v>3</v>
      </c>
    </row>
    <row r="952" spans="1:4" x14ac:dyDescent="0.25">
      <c r="A952" s="1">
        <f t="shared" si="19"/>
        <v>0</v>
      </c>
      <c r="B952" s="1" t="s">
        <v>49</v>
      </c>
      <c r="C952" s="1">
        <v>120</v>
      </c>
      <c r="D952" s="1">
        <v>3</v>
      </c>
    </row>
    <row r="953" spans="1:4" x14ac:dyDescent="0.25">
      <c r="A953" s="1">
        <f t="shared" si="19"/>
        <v>0</v>
      </c>
      <c r="B953" s="1" t="s">
        <v>18</v>
      </c>
      <c r="C953" s="1">
        <v>153.6</v>
      </c>
      <c r="D953" s="1">
        <v>4</v>
      </c>
    </row>
    <row r="954" spans="1:4" x14ac:dyDescent="0.25">
      <c r="A954" s="1">
        <f t="shared" si="19"/>
        <v>0</v>
      </c>
      <c r="B954" s="1" t="s">
        <v>7</v>
      </c>
      <c r="C954" s="1">
        <v>109.6</v>
      </c>
      <c r="D954" s="1">
        <v>2</v>
      </c>
    </row>
    <row r="955" spans="1:4" x14ac:dyDescent="0.25">
      <c r="A955" s="1">
        <f t="shared" si="19"/>
        <v>0</v>
      </c>
      <c r="B955" s="1" t="s">
        <v>53</v>
      </c>
      <c r="C955" s="1">
        <v>28.75</v>
      </c>
      <c r="D955" s="1">
        <v>1</v>
      </c>
    </row>
    <row r="956" spans="1:4" x14ac:dyDescent="0.25">
      <c r="A956" s="1">
        <f t="shared" si="19"/>
        <v>0</v>
      </c>
      <c r="B956" s="1" t="s">
        <v>57</v>
      </c>
      <c r="C956" s="1">
        <v>40</v>
      </c>
      <c r="D956" s="1">
        <v>1</v>
      </c>
    </row>
    <row r="957" spans="1:4" x14ac:dyDescent="0.25">
      <c r="A957" s="1">
        <f t="shared" si="19"/>
        <v>0</v>
      </c>
      <c r="B957" s="1" t="s">
        <v>33</v>
      </c>
      <c r="C957" s="1">
        <v>120</v>
      </c>
      <c r="D957" s="1">
        <v>3</v>
      </c>
    </row>
    <row r="958" spans="1:4" x14ac:dyDescent="0.25">
      <c r="A958" s="1">
        <f t="shared" si="19"/>
        <v>0</v>
      </c>
      <c r="B958" s="1" t="s">
        <v>19</v>
      </c>
      <c r="C958" s="1">
        <v>57.5</v>
      </c>
      <c r="D958" s="1">
        <v>2</v>
      </c>
    </row>
    <row r="959" spans="1:4" x14ac:dyDescent="0.25">
      <c r="A959" s="1">
        <f t="shared" si="19"/>
        <v>0</v>
      </c>
      <c r="B959" s="1" t="s">
        <v>22</v>
      </c>
      <c r="C959" s="1">
        <v>54.8</v>
      </c>
      <c r="D959" s="1">
        <v>1</v>
      </c>
    </row>
    <row r="960" spans="1:4" x14ac:dyDescent="0.25">
      <c r="A960" s="1">
        <f t="shared" si="19"/>
        <v>0</v>
      </c>
      <c r="B960" s="1" t="s">
        <v>40</v>
      </c>
      <c r="C960" s="1">
        <v>164.4</v>
      </c>
      <c r="D960" s="1">
        <v>3</v>
      </c>
    </row>
    <row r="961" spans="1:4" x14ac:dyDescent="0.25">
      <c r="A961" s="1">
        <f t="shared" si="19"/>
        <v>0</v>
      </c>
      <c r="B961" s="1" t="s">
        <v>41</v>
      </c>
      <c r="C961" s="1">
        <v>57.5</v>
      </c>
      <c r="D961" s="1">
        <v>2</v>
      </c>
    </row>
    <row r="962" spans="1:4" x14ac:dyDescent="0.25">
      <c r="A962" s="1">
        <f t="shared" ref="A962:A1025" si="20">IF(COUNTIF($V$3:$Y$99, $B962)&lt;&gt;0, ROW($B962), 0)</f>
        <v>0</v>
      </c>
      <c r="B962" s="1" t="s">
        <v>50</v>
      </c>
      <c r="C962" s="1">
        <v>42.5</v>
      </c>
      <c r="D962" s="1">
        <v>1</v>
      </c>
    </row>
    <row r="963" spans="1:4" x14ac:dyDescent="0.25">
      <c r="A963" s="1">
        <f t="shared" si="20"/>
        <v>0</v>
      </c>
      <c r="B963" s="1" t="s">
        <v>54</v>
      </c>
      <c r="C963" s="1">
        <v>76.8</v>
      </c>
      <c r="D963" s="1">
        <v>2</v>
      </c>
    </row>
    <row r="964" spans="1:4" x14ac:dyDescent="0.25">
      <c r="A964" s="1">
        <f t="shared" si="20"/>
        <v>0</v>
      </c>
      <c r="B964" s="1" t="s">
        <v>44</v>
      </c>
      <c r="C964" s="1">
        <v>38.4</v>
      </c>
      <c r="D964" s="1">
        <v>1</v>
      </c>
    </row>
    <row r="965" spans="1:4" x14ac:dyDescent="0.25">
      <c r="A965" s="1">
        <f t="shared" si="20"/>
        <v>0</v>
      </c>
      <c r="B965" s="1" t="s">
        <v>45</v>
      </c>
      <c r="C965" s="1">
        <v>28.75</v>
      </c>
      <c r="D965" s="1">
        <v>1</v>
      </c>
    </row>
    <row r="966" spans="1:4" x14ac:dyDescent="0.25">
      <c r="A966" s="1">
        <f t="shared" si="20"/>
        <v>0</v>
      </c>
      <c r="B966" s="1" t="s">
        <v>62</v>
      </c>
      <c r="C966" s="1">
        <v>38.4</v>
      </c>
      <c r="D966" s="1">
        <v>1</v>
      </c>
    </row>
    <row r="967" spans="1:4" x14ac:dyDescent="0.25">
      <c r="A967" s="1">
        <f t="shared" si="20"/>
        <v>967</v>
      </c>
      <c r="B967" s="1" t="s">
        <v>103</v>
      </c>
    </row>
    <row r="968" spans="1:4" x14ac:dyDescent="0.25">
      <c r="A968" s="1">
        <f t="shared" si="20"/>
        <v>0</v>
      </c>
      <c r="B968" s="1" t="s">
        <v>1</v>
      </c>
      <c r="C968" s="1">
        <v>67</v>
      </c>
    </row>
    <row r="969" spans="1:4" x14ac:dyDescent="0.25">
      <c r="A969" s="1">
        <f t="shared" si="20"/>
        <v>0</v>
      </c>
      <c r="B969" s="1" t="s">
        <v>2</v>
      </c>
      <c r="C969" s="1">
        <v>3390.35</v>
      </c>
    </row>
    <row r="970" spans="1:4" x14ac:dyDescent="0.25">
      <c r="A970" s="1">
        <f t="shared" si="20"/>
        <v>0</v>
      </c>
      <c r="B970" s="1" t="s">
        <v>3</v>
      </c>
      <c r="C970" s="1" t="s">
        <v>4</v>
      </c>
      <c r="D970" s="1" t="s">
        <v>5</v>
      </c>
    </row>
    <row r="971" spans="1:4" x14ac:dyDescent="0.25">
      <c r="A971" s="1">
        <f t="shared" si="20"/>
        <v>0</v>
      </c>
      <c r="B971" s="1" t="s">
        <v>20</v>
      </c>
      <c r="C971" s="1">
        <v>345.6</v>
      </c>
      <c r="D971" s="1">
        <v>9</v>
      </c>
    </row>
    <row r="972" spans="1:4" x14ac:dyDescent="0.25">
      <c r="A972" s="1">
        <f t="shared" si="20"/>
        <v>0</v>
      </c>
      <c r="B972" s="1" t="s">
        <v>13</v>
      </c>
      <c r="C972" s="1">
        <v>76.8</v>
      </c>
      <c r="D972" s="1">
        <v>2</v>
      </c>
    </row>
    <row r="973" spans="1:4" x14ac:dyDescent="0.25">
      <c r="A973" s="1">
        <f t="shared" si="20"/>
        <v>0</v>
      </c>
      <c r="B973" s="1" t="s">
        <v>18</v>
      </c>
      <c r="C973" s="1">
        <v>115.2</v>
      </c>
      <c r="D973" s="1">
        <v>3</v>
      </c>
    </row>
    <row r="974" spans="1:4" x14ac:dyDescent="0.25">
      <c r="A974" s="1">
        <f t="shared" si="20"/>
        <v>0</v>
      </c>
      <c r="B974" s="1" t="s">
        <v>8</v>
      </c>
      <c r="C974" s="1">
        <v>493.2</v>
      </c>
      <c r="D974" s="1">
        <v>9</v>
      </c>
    </row>
    <row r="975" spans="1:4" x14ac:dyDescent="0.25">
      <c r="A975" s="1">
        <f t="shared" si="20"/>
        <v>0</v>
      </c>
      <c r="B975" s="1" t="s">
        <v>14</v>
      </c>
      <c r="C975" s="1">
        <v>28.75</v>
      </c>
      <c r="D975" s="1">
        <v>1</v>
      </c>
    </row>
    <row r="976" spans="1:4" x14ac:dyDescent="0.25">
      <c r="A976" s="1">
        <f t="shared" si="20"/>
        <v>0</v>
      </c>
      <c r="B976" s="1" t="s">
        <v>49</v>
      </c>
      <c r="C976" s="1">
        <v>160</v>
      </c>
      <c r="D976" s="1">
        <v>4</v>
      </c>
    </row>
    <row r="977" spans="1:4" x14ac:dyDescent="0.25">
      <c r="A977" s="1">
        <f t="shared" si="20"/>
        <v>0</v>
      </c>
      <c r="B977" s="1" t="s">
        <v>15</v>
      </c>
      <c r="C977" s="1">
        <v>1428</v>
      </c>
      <c r="D977" s="1">
        <v>21</v>
      </c>
    </row>
    <row r="978" spans="1:4" x14ac:dyDescent="0.25">
      <c r="A978" s="1">
        <f t="shared" si="20"/>
        <v>0</v>
      </c>
      <c r="B978" s="1" t="s">
        <v>21</v>
      </c>
      <c r="C978" s="1">
        <v>109.6</v>
      </c>
      <c r="D978" s="1">
        <v>2</v>
      </c>
    </row>
    <row r="979" spans="1:4" x14ac:dyDescent="0.25">
      <c r="A979" s="1">
        <f t="shared" si="20"/>
        <v>0</v>
      </c>
      <c r="B979" s="1" t="s">
        <v>40</v>
      </c>
      <c r="C979" s="1">
        <v>54.8</v>
      </c>
      <c r="D979" s="1">
        <v>1</v>
      </c>
    </row>
    <row r="980" spans="1:4" x14ac:dyDescent="0.25">
      <c r="A980" s="1">
        <f t="shared" si="20"/>
        <v>0</v>
      </c>
      <c r="B980" s="1" t="s">
        <v>42</v>
      </c>
      <c r="C980" s="1">
        <v>80</v>
      </c>
      <c r="D980" s="1">
        <v>2</v>
      </c>
    </row>
    <row r="981" spans="1:4" x14ac:dyDescent="0.25">
      <c r="A981" s="1">
        <f t="shared" si="20"/>
        <v>0</v>
      </c>
      <c r="B981" s="1" t="s">
        <v>7</v>
      </c>
      <c r="C981" s="1">
        <v>109.6</v>
      </c>
      <c r="D981" s="1">
        <v>3</v>
      </c>
    </row>
    <row r="982" spans="1:4" x14ac:dyDescent="0.25">
      <c r="A982" s="1">
        <f t="shared" si="20"/>
        <v>0</v>
      </c>
      <c r="B982" s="1" t="s">
        <v>54</v>
      </c>
      <c r="C982" s="1">
        <v>38.4</v>
      </c>
      <c r="D982" s="1">
        <v>1</v>
      </c>
    </row>
    <row r="983" spans="1:4" x14ac:dyDescent="0.25">
      <c r="A983" s="1">
        <f t="shared" si="20"/>
        <v>0</v>
      </c>
      <c r="B983" s="1" t="s">
        <v>17</v>
      </c>
      <c r="C983" s="1">
        <v>115.2</v>
      </c>
      <c r="D983" s="1">
        <v>3</v>
      </c>
    </row>
    <row r="984" spans="1:4" x14ac:dyDescent="0.25">
      <c r="A984" s="1">
        <f t="shared" si="20"/>
        <v>0</v>
      </c>
      <c r="B984" s="1" t="s">
        <v>16</v>
      </c>
      <c r="C984" s="1">
        <v>70.400000000000006</v>
      </c>
      <c r="D984" s="1">
        <v>2</v>
      </c>
    </row>
    <row r="985" spans="1:4" x14ac:dyDescent="0.25">
      <c r="A985" s="1">
        <f t="shared" si="20"/>
        <v>0</v>
      </c>
      <c r="B985" s="1" t="s">
        <v>12</v>
      </c>
      <c r="C985" s="1">
        <v>70</v>
      </c>
      <c r="D985" s="1">
        <v>2</v>
      </c>
    </row>
    <row r="986" spans="1:4" x14ac:dyDescent="0.25">
      <c r="A986" s="1">
        <f t="shared" si="20"/>
        <v>0</v>
      </c>
      <c r="B986" s="1" t="s">
        <v>22</v>
      </c>
      <c r="C986" s="1">
        <v>54.8</v>
      </c>
      <c r="D986" s="1">
        <v>1</v>
      </c>
    </row>
    <row r="987" spans="1:4" x14ac:dyDescent="0.25">
      <c r="A987" s="1">
        <f t="shared" si="20"/>
        <v>0</v>
      </c>
      <c r="B987" s="1" t="s">
        <v>33</v>
      </c>
      <c r="C987" s="1">
        <v>40</v>
      </c>
      <c r="D987" s="1">
        <v>1</v>
      </c>
    </row>
    <row r="988" spans="1:4" x14ac:dyDescent="0.25">
      <c r="A988" s="1">
        <f t="shared" si="20"/>
        <v>988</v>
      </c>
      <c r="B988" s="1" t="s">
        <v>104</v>
      </c>
    </row>
    <row r="989" spans="1:4" x14ac:dyDescent="0.25">
      <c r="A989" s="1">
        <f t="shared" si="20"/>
        <v>0</v>
      </c>
      <c r="B989" s="1" t="s">
        <v>1</v>
      </c>
      <c r="C989" s="1">
        <v>62</v>
      </c>
    </row>
    <row r="990" spans="1:4" x14ac:dyDescent="0.25">
      <c r="A990" s="1">
        <f t="shared" si="20"/>
        <v>0</v>
      </c>
      <c r="B990" s="1" t="s">
        <v>2</v>
      </c>
      <c r="C990" s="1">
        <v>2039.25</v>
      </c>
    </row>
    <row r="991" spans="1:4" x14ac:dyDescent="0.25">
      <c r="A991" s="1">
        <f t="shared" si="20"/>
        <v>0</v>
      </c>
      <c r="B991" s="1" t="s">
        <v>3</v>
      </c>
      <c r="C991" s="1" t="s">
        <v>4</v>
      </c>
      <c r="D991" s="1" t="s">
        <v>5</v>
      </c>
    </row>
    <row r="992" spans="1:4" x14ac:dyDescent="0.25">
      <c r="A992" s="1">
        <f t="shared" si="20"/>
        <v>0</v>
      </c>
      <c r="B992" s="1" t="s">
        <v>21</v>
      </c>
      <c r="C992" s="1">
        <v>164.4</v>
      </c>
      <c r="D992" s="1">
        <v>3</v>
      </c>
    </row>
    <row r="993" spans="1:4" x14ac:dyDescent="0.25">
      <c r="A993" s="1">
        <f t="shared" si="20"/>
        <v>0</v>
      </c>
      <c r="B993" s="1" t="s">
        <v>26</v>
      </c>
      <c r="C993" s="1">
        <v>37.5</v>
      </c>
      <c r="D993" s="1">
        <v>1</v>
      </c>
    </row>
    <row r="994" spans="1:4" x14ac:dyDescent="0.25">
      <c r="A994" s="1">
        <f t="shared" si="20"/>
        <v>0</v>
      </c>
      <c r="B994" s="1" t="s">
        <v>20</v>
      </c>
      <c r="C994" s="1">
        <v>345.6</v>
      </c>
      <c r="D994" s="1">
        <v>11</v>
      </c>
    </row>
    <row r="995" spans="1:4" x14ac:dyDescent="0.25">
      <c r="A995" s="1">
        <f t="shared" si="20"/>
        <v>0</v>
      </c>
      <c r="B995" s="1" t="s">
        <v>17</v>
      </c>
      <c r="C995" s="1">
        <v>153.6</v>
      </c>
      <c r="D995" s="1">
        <v>4</v>
      </c>
    </row>
    <row r="996" spans="1:4" x14ac:dyDescent="0.25">
      <c r="A996" s="1">
        <f t="shared" si="20"/>
        <v>0</v>
      </c>
      <c r="B996" s="1" t="s">
        <v>10</v>
      </c>
      <c r="C996" s="1">
        <v>115.2</v>
      </c>
      <c r="D996" s="1">
        <v>3</v>
      </c>
    </row>
    <row r="997" spans="1:4" x14ac:dyDescent="0.25">
      <c r="A997" s="1">
        <f t="shared" si="20"/>
        <v>0</v>
      </c>
      <c r="B997" s="1" t="s">
        <v>8</v>
      </c>
      <c r="C997" s="1">
        <v>274</v>
      </c>
      <c r="D997" s="1">
        <v>14</v>
      </c>
    </row>
    <row r="998" spans="1:4" x14ac:dyDescent="0.25">
      <c r="A998" s="1">
        <f t="shared" si="20"/>
        <v>0</v>
      </c>
      <c r="B998" s="1" t="s">
        <v>18</v>
      </c>
      <c r="C998" s="1">
        <v>230.4</v>
      </c>
      <c r="D998" s="1">
        <v>9</v>
      </c>
    </row>
    <row r="999" spans="1:4" x14ac:dyDescent="0.25">
      <c r="A999" s="1">
        <f t="shared" si="20"/>
        <v>0</v>
      </c>
      <c r="B999" s="1" t="s">
        <v>28</v>
      </c>
      <c r="C999" s="1">
        <v>38.4</v>
      </c>
      <c r="D999" s="1">
        <v>1</v>
      </c>
    </row>
    <row r="1000" spans="1:4" x14ac:dyDescent="0.25">
      <c r="A1000" s="1">
        <f t="shared" si="20"/>
        <v>0</v>
      </c>
      <c r="B1000" s="1" t="s">
        <v>16</v>
      </c>
      <c r="C1000" s="1">
        <v>105.6</v>
      </c>
      <c r="D1000" s="1">
        <v>3</v>
      </c>
    </row>
    <row r="1001" spans="1:4" x14ac:dyDescent="0.25">
      <c r="A1001" s="1">
        <f t="shared" si="20"/>
        <v>0</v>
      </c>
      <c r="B1001" s="1" t="s">
        <v>32</v>
      </c>
      <c r="C1001" s="1">
        <v>76.8</v>
      </c>
      <c r="D1001" s="1">
        <v>2</v>
      </c>
    </row>
    <row r="1002" spans="1:4" x14ac:dyDescent="0.25">
      <c r="A1002" s="1">
        <f t="shared" si="20"/>
        <v>0</v>
      </c>
      <c r="B1002" s="1" t="s">
        <v>40</v>
      </c>
      <c r="C1002" s="1">
        <v>54.8</v>
      </c>
      <c r="D1002" s="1">
        <v>1</v>
      </c>
    </row>
    <row r="1003" spans="1:4" x14ac:dyDescent="0.25">
      <c r="A1003" s="1">
        <f t="shared" si="20"/>
        <v>0</v>
      </c>
      <c r="B1003" s="1" t="s">
        <v>15</v>
      </c>
      <c r="C1003" s="1">
        <v>136</v>
      </c>
      <c r="D1003" s="1">
        <v>2</v>
      </c>
    </row>
    <row r="1004" spans="1:4" x14ac:dyDescent="0.25">
      <c r="A1004" s="1">
        <f t="shared" si="20"/>
        <v>0</v>
      </c>
      <c r="B1004" s="1" t="s">
        <v>12</v>
      </c>
      <c r="C1004" s="1">
        <v>105</v>
      </c>
      <c r="D1004" s="1">
        <v>3</v>
      </c>
    </row>
    <row r="1005" spans="1:4" x14ac:dyDescent="0.25">
      <c r="A1005" s="1">
        <f t="shared" si="20"/>
        <v>0</v>
      </c>
      <c r="B1005" s="1" t="s">
        <v>56</v>
      </c>
      <c r="C1005" s="1">
        <v>38.4</v>
      </c>
      <c r="D1005" s="1">
        <v>1</v>
      </c>
    </row>
    <row r="1006" spans="1:4" x14ac:dyDescent="0.25">
      <c r="A1006" s="1">
        <f t="shared" si="20"/>
        <v>0</v>
      </c>
      <c r="B1006" s="1" t="s">
        <v>49</v>
      </c>
      <c r="C1006" s="1">
        <v>80</v>
      </c>
      <c r="D1006" s="1">
        <v>2</v>
      </c>
    </row>
    <row r="1007" spans="1:4" x14ac:dyDescent="0.25">
      <c r="A1007" s="1">
        <f t="shared" si="20"/>
        <v>0</v>
      </c>
      <c r="B1007" s="1" t="s">
        <v>6</v>
      </c>
      <c r="C1007" s="1">
        <v>54.8</v>
      </c>
      <c r="D1007" s="1">
        <v>1</v>
      </c>
    </row>
    <row r="1008" spans="1:4" x14ac:dyDescent="0.25">
      <c r="A1008" s="1">
        <f t="shared" si="20"/>
        <v>0</v>
      </c>
      <c r="B1008" s="1" t="s">
        <v>45</v>
      </c>
      <c r="C1008" s="1">
        <v>28.75</v>
      </c>
      <c r="D1008" s="1">
        <v>1</v>
      </c>
    </row>
    <row r="1009" spans="1:4" x14ac:dyDescent="0.25">
      <c r="A1009" s="1">
        <f t="shared" si="20"/>
        <v>1009</v>
      </c>
      <c r="B1009" s="1" t="s">
        <v>105</v>
      </c>
    </row>
    <row r="1010" spans="1:4" x14ac:dyDescent="0.25">
      <c r="A1010" s="1">
        <f t="shared" si="20"/>
        <v>0</v>
      </c>
      <c r="B1010" s="1" t="s">
        <v>1</v>
      </c>
      <c r="C1010" s="1">
        <v>57</v>
      </c>
    </row>
    <row r="1011" spans="1:4" x14ac:dyDescent="0.25">
      <c r="A1011" s="1">
        <f t="shared" si="20"/>
        <v>0</v>
      </c>
      <c r="B1011" s="1" t="s">
        <v>2</v>
      </c>
      <c r="C1011" s="1">
        <v>2366.65</v>
      </c>
    </row>
    <row r="1012" spans="1:4" x14ac:dyDescent="0.25">
      <c r="A1012" s="1">
        <f t="shared" si="20"/>
        <v>0</v>
      </c>
      <c r="B1012" s="1" t="s">
        <v>3</v>
      </c>
      <c r="C1012" s="1" t="s">
        <v>4</v>
      </c>
      <c r="D1012" s="1" t="s">
        <v>5</v>
      </c>
    </row>
    <row r="1013" spans="1:4" x14ac:dyDescent="0.25">
      <c r="A1013" s="1">
        <f t="shared" si="20"/>
        <v>0</v>
      </c>
      <c r="B1013" s="1" t="s">
        <v>17</v>
      </c>
      <c r="C1013" s="1">
        <v>345.6</v>
      </c>
      <c r="D1013" s="1">
        <v>9</v>
      </c>
    </row>
    <row r="1014" spans="1:4" x14ac:dyDescent="0.25">
      <c r="A1014" s="1">
        <f t="shared" si="20"/>
        <v>0</v>
      </c>
      <c r="B1014" s="1" t="s">
        <v>20</v>
      </c>
      <c r="C1014" s="1">
        <v>345.6</v>
      </c>
      <c r="D1014" s="1">
        <v>10</v>
      </c>
    </row>
    <row r="1015" spans="1:4" x14ac:dyDescent="0.25">
      <c r="A1015" s="1">
        <f t="shared" si="20"/>
        <v>0</v>
      </c>
      <c r="B1015" s="1" t="s">
        <v>49</v>
      </c>
      <c r="C1015" s="1">
        <v>120</v>
      </c>
      <c r="D1015" s="1">
        <v>3</v>
      </c>
    </row>
    <row r="1016" spans="1:4" x14ac:dyDescent="0.25">
      <c r="A1016" s="1">
        <f t="shared" si="20"/>
        <v>0</v>
      </c>
      <c r="B1016" s="1" t="s">
        <v>12</v>
      </c>
      <c r="C1016" s="1">
        <v>105</v>
      </c>
      <c r="D1016" s="1">
        <v>3</v>
      </c>
    </row>
    <row r="1017" spans="1:4" x14ac:dyDescent="0.25">
      <c r="A1017" s="1">
        <f t="shared" si="20"/>
        <v>0</v>
      </c>
      <c r="B1017" s="1" t="s">
        <v>7</v>
      </c>
      <c r="C1017" s="1">
        <v>54.8</v>
      </c>
      <c r="D1017" s="1">
        <v>1</v>
      </c>
    </row>
    <row r="1018" spans="1:4" x14ac:dyDescent="0.25">
      <c r="A1018" s="1">
        <f t="shared" si="20"/>
        <v>0</v>
      </c>
      <c r="B1018" s="1" t="s">
        <v>21</v>
      </c>
      <c r="C1018" s="1">
        <v>219.2</v>
      </c>
      <c r="D1018" s="1">
        <v>4</v>
      </c>
    </row>
    <row r="1019" spans="1:4" x14ac:dyDescent="0.25">
      <c r="A1019" s="1">
        <f t="shared" si="20"/>
        <v>0</v>
      </c>
      <c r="B1019" s="1" t="s">
        <v>8</v>
      </c>
      <c r="C1019" s="1">
        <v>438.4</v>
      </c>
      <c r="D1019" s="1">
        <v>9</v>
      </c>
    </row>
    <row r="1020" spans="1:4" x14ac:dyDescent="0.25">
      <c r="A1020" s="1">
        <f t="shared" si="20"/>
        <v>0</v>
      </c>
      <c r="B1020" s="1" t="s">
        <v>18</v>
      </c>
      <c r="C1020" s="1">
        <v>192</v>
      </c>
      <c r="D1020" s="1">
        <v>5</v>
      </c>
    </row>
    <row r="1021" spans="1:4" x14ac:dyDescent="0.25">
      <c r="A1021" s="1">
        <f t="shared" si="20"/>
        <v>0</v>
      </c>
      <c r="B1021" s="1" t="s">
        <v>40</v>
      </c>
      <c r="C1021" s="1">
        <v>164.4</v>
      </c>
      <c r="D1021" s="1">
        <v>3</v>
      </c>
    </row>
    <row r="1022" spans="1:4" x14ac:dyDescent="0.25">
      <c r="A1022" s="1">
        <f t="shared" si="20"/>
        <v>0</v>
      </c>
      <c r="B1022" s="1" t="s">
        <v>50</v>
      </c>
      <c r="C1022" s="1">
        <v>42.5</v>
      </c>
      <c r="D1022" s="1">
        <v>1</v>
      </c>
    </row>
    <row r="1023" spans="1:4" x14ac:dyDescent="0.25">
      <c r="A1023" s="1">
        <f t="shared" si="20"/>
        <v>0</v>
      </c>
      <c r="B1023" s="1" t="s">
        <v>36</v>
      </c>
      <c r="C1023" s="1">
        <v>76.8</v>
      </c>
      <c r="D1023" s="1">
        <v>2</v>
      </c>
    </row>
    <row r="1024" spans="1:4" x14ac:dyDescent="0.25">
      <c r="A1024" s="1">
        <f t="shared" si="20"/>
        <v>0</v>
      </c>
      <c r="B1024" s="1" t="s">
        <v>33</v>
      </c>
      <c r="C1024" s="1">
        <v>80</v>
      </c>
      <c r="D1024" s="1">
        <v>2</v>
      </c>
    </row>
    <row r="1025" spans="1:4" x14ac:dyDescent="0.25">
      <c r="A1025" s="1">
        <f t="shared" si="20"/>
        <v>0</v>
      </c>
      <c r="B1025" s="1" t="s">
        <v>54</v>
      </c>
      <c r="C1025" s="1">
        <v>76.8</v>
      </c>
      <c r="D1025" s="1">
        <v>2</v>
      </c>
    </row>
    <row r="1026" spans="1:4" x14ac:dyDescent="0.25">
      <c r="A1026" s="1">
        <f t="shared" ref="A1026:A1089" si="21">IF(COUNTIF($V$3:$Y$99, $B1026)&lt;&gt;0, ROW($B1026), 0)</f>
        <v>0</v>
      </c>
      <c r="B1026" s="1" t="s">
        <v>41</v>
      </c>
      <c r="C1026" s="1">
        <v>28.75</v>
      </c>
      <c r="D1026" s="1">
        <v>1</v>
      </c>
    </row>
    <row r="1027" spans="1:4" x14ac:dyDescent="0.25">
      <c r="A1027" s="1">
        <f t="shared" si="21"/>
        <v>0</v>
      </c>
      <c r="B1027" s="1" t="s">
        <v>27</v>
      </c>
      <c r="C1027" s="1">
        <v>76.8</v>
      </c>
      <c r="D1027" s="1">
        <v>2</v>
      </c>
    </row>
    <row r="1028" spans="1:4" x14ac:dyDescent="0.25">
      <c r="A1028" s="1">
        <f t="shared" si="21"/>
        <v>1028</v>
      </c>
      <c r="B1028" s="1" t="s">
        <v>106</v>
      </c>
    </row>
    <row r="1029" spans="1:4" x14ac:dyDescent="0.25">
      <c r="A1029" s="1">
        <f t="shared" si="21"/>
        <v>0</v>
      </c>
      <c r="B1029" s="1" t="s">
        <v>1</v>
      </c>
      <c r="C1029" s="1">
        <v>124</v>
      </c>
    </row>
    <row r="1030" spans="1:4" x14ac:dyDescent="0.25">
      <c r="A1030" s="1">
        <f t="shared" si="21"/>
        <v>0</v>
      </c>
      <c r="B1030" s="1" t="s">
        <v>2</v>
      </c>
      <c r="C1030" s="1">
        <v>4715.8100000000004</v>
      </c>
    </row>
    <row r="1031" spans="1:4" x14ac:dyDescent="0.25">
      <c r="A1031" s="1">
        <f t="shared" si="21"/>
        <v>0</v>
      </c>
      <c r="B1031" s="1" t="s">
        <v>3</v>
      </c>
      <c r="C1031" s="1" t="s">
        <v>4</v>
      </c>
      <c r="D1031" s="1" t="s">
        <v>5</v>
      </c>
    </row>
    <row r="1032" spans="1:4" x14ac:dyDescent="0.25">
      <c r="A1032" s="1">
        <f t="shared" si="21"/>
        <v>0</v>
      </c>
      <c r="B1032" s="1" t="s">
        <v>20</v>
      </c>
      <c r="C1032" s="1">
        <v>537.6</v>
      </c>
      <c r="D1032" s="1">
        <v>15</v>
      </c>
    </row>
    <row r="1033" spans="1:4" x14ac:dyDescent="0.25">
      <c r="A1033" s="1">
        <f t="shared" si="21"/>
        <v>0</v>
      </c>
      <c r="B1033" s="1" t="s">
        <v>18</v>
      </c>
      <c r="C1033" s="1">
        <v>576</v>
      </c>
      <c r="D1033" s="1">
        <v>15</v>
      </c>
    </row>
    <row r="1034" spans="1:4" x14ac:dyDescent="0.25">
      <c r="A1034" s="1">
        <f t="shared" si="21"/>
        <v>0</v>
      </c>
      <c r="B1034" s="1" t="s">
        <v>15</v>
      </c>
      <c r="C1034" s="1">
        <v>136</v>
      </c>
      <c r="D1034" s="1">
        <v>3</v>
      </c>
    </row>
    <row r="1035" spans="1:4" x14ac:dyDescent="0.25">
      <c r="A1035" s="1">
        <f t="shared" si="21"/>
        <v>0</v>
      </c>
      <c r="B1035" s="1" t="s">
        <v>21</v>
      </c>
      <c r="C1035" s="1">
        <v>109.6</v>
      </c>
      <c r="D1035" s="1">
        <v>2</v>
      </c>
    </row>
    <row r="1036" spans="1:4" x14ac:dyDescent="0.25">
      <c r="A1036" s="1">
        <f t="shared" si="21"/>
        <v>0</v>
      </c>
      <c r="B1036" s="1" t="s">
        <v>8</v>
      </c>
      <c r="C1036" s="1">
        <v>548</v>
      </c>
      <c r="D1036" s="1">
        <v>10</v>
      </c>
    </row>
    <row r="1037" spans="1:4" x14ac:dyDescent="0.25">
      <c r="A1037" s="1">
        <f t="shared" si="21"/>
        <v>0</v>
      </c>
      <c r="B1037" s="1" t="s">
        <v>49</v>
      </c>
      <c r="C1037" s="1">
        <v>1280</v>
      </c>
      <c r="D1037" s="1">
        <v>32</v>
      </c>
    </row>
    <row r="1038" spans="1:4" x14ac:dyDescent="0.25">
      <c r="A1038" s="1">
        <f t="shared" si="21"/>
        <v>0</v>
      </c>
      <c r="B1038" s="1" t="s">
        <v>22</v>
      </c>
      <c r="C1038" s="1">
        <v>109.6</v>
      </c>
      <c r="D1038" s="1">
        <v>2</v>
      </c>
    </row>
    <row r="1039" spans="1:4" x14ac:dyDescent="0.25">
      <c r="A1039" s="1">
        <f t="shared" si="21"/>
        <v>0</v>
      </c>
      <c r="B1039" s="1" t="s">
        <v>17</v>
      </c>
      <c r="C1039" s="1">
        <v>345.6</v>
      </c>
      <c r="D1039" s="1">
        <v>9</v>
      </c>
    </row>
    <row r="1040" spans="1:4" x14ac:dyDescent="0.25">
      <c r="A1040" s="1">
        <f t="shared" si="21"/>
        <v>0</v>
      </c>
      <c r="B1040" s="1" t="s">
        <v>51</v>
      </c>
      <c r="C1040" s="1">
        <v>115.2</v>
      </c>
      <c r="D1040" s="1">
        <v>5</v>
      </c>
    </row>
    <row r="1041" spans="1:4" x14ac:dyDescent="0.25">
      <c r="A1041" s="1">
        <f t="shared" si="21"/>
        <v>0</v>
      </c>
      <c r="B1041" s="1" t="s">
        <v>31</v>
      </c>
      <c r="C1041" s="1">
        <v>34.56</v>
      </c>
      <c r="D1041" s="1">
        <v>1</v>
      </c>
    </row>
    <row r="1042" spans="1:4" x14ac:dyDescent="0.25">
      <c r="A1042" s="1">
        <f t="shared" si="21"/>
        <v>0</v>
      </c>
      <c r="B1042" s="1" t="s">
        <v>33</v>
      </c>
      <c r="C1042" s="1">
        <v>80</v>
      </c>
      <c r="D1042" s="1">
        <v>2</v>
      </c>
    </row>
    <row r="1043" spans="1:4" x14ac:dyDescent="0.25">
      <c r="A1043" s="1">
        <f t="shared" si="21"/>
        <v>0</v>
      </c>
      <c r="B1043" s="1" t="s">
        <v>12</v>
      </c>
      <c r="C1043" s="1">
        <v>70</v>
      </c>
      <c r="D1043" s="1">
        <v>2</v>
      </c>
    </row>
    <row r="1044" spans="1:4" x14ac:dyDescent="0.25">
      <c r="A1044" s="1">
        <f t="shared" si="21"/>
        <v>0</v>
      </c>
      <c r="B1044" s="1" t="s">
        <v>74</v>
      </c>
      <c r="C1044" s="1">
        <v>74</v>
      </c>
      <c r="D1044" s="1">
        <v>1</v>
      </c>
    </row>
    <row r="1045" spans="1:4" x14ac:dyDescent="0.25">
      <c r="A1045" s="1">
        <f t="shared" si="21"/>
        <v>0</v>
      </c>
      <c r="B1045" s="1" t="s">
        <v>32</v>
      </c>
      <c r="C1045" s="1">
        <v>38.4</v>
      </c>
      <c r="D1045" s="1">
        <v>1</v>
      </c>
    </row>
    <row r="1046" spans="1:4" x14ac:dyDescent="0.25">
      <c r="A1046" s="1">
        <f t="shared" si="21"/>
        <v>0</v>
      </c>
      <c r="B1046" s="1" t="s">
        <v>10</v>
      </c>
      <c r="C1046" s="1">
        <v>76.8</v>
      </c>
      <c r="D1046" s="1">
        <v>2</v>
      </c>
    </row>
    <row r="1047" spans="1:4" x14ac:dyDescent="0.25">
      <c r="A1047" s="1">
        <f t="shared" si="21"/>
        <v>0</v>
      </c>
      <c r="B1047" s="1" t="s">
        <v>16</v>
      </c>
      <c r="C1047" s="1">
        <v>35.200000000000003</v>
      </c>
      <c r="D1047" s="1">
        <v>1</v>
      </c>
    </row>
    <row r="1048" spans="1:4" x14ac:dyDescent="0.25">
      <c r="A1048" s="1">
        <f t="shared" si="21"/>
        <v>0</v>
      </c>
      <c r="B1048" s="1" t="s">
        <v>6</v>
      </c>
      <c r="C1048" s="1">
        <v>54.8</v>
      </c>
      <c r="D1048" s="1">
        <v>1</v>
      </c>
    </row>
    <row r="1049" spans="1:4" x14ac:dyDescent="0.25">
      <c r="A1049" s="1">
        <f t="shared" si="21"/>
        <v>0</v>
      </c>
      <c r="B1049" s="1" t="s">
        <v>40</v>
      </c>
      <c r="C1049" s="1">
        <v>54.8</v>
      </c>
      <c r="D1049" s="1">
        <v>1</v>
      </c>
    </row>
    <row r="1050" spans="1:4" x14ac:dyDescent="0.25">
      <c r="A1050" s="1">
        <f t="shared" si="21"/>
        <v>0</v>
      </c>
      <c r="B1050" s="1" t="s">
        <v>56</v>
      </c>
      <c r="C1050" s="1">
        <v>38.4</v>
      </c>
      <c r="D1050" s="1">
        <v>1</v>
      </c>
    </row>
    <row r="1051" spans="1:4" x14ac:dyDescent="0.25">
      <c r="A1051" s="1">
        <f t="shared" si="21"/>
        <v>0</v>
      </c>
      <c r="B1051" s="1" t="s">
        <v>54</v>
      </c>
      <c r="C1051" s="1">
        <v>76.8</v>
      </c>
      <c r="D1051" s="1">
        <v>2</v>
      </c>
    </row>
    <row r="1052" spans="1:4" x14ac:dyDescent="0.25">
      <c r="A1052" s="1">
        <f t="shared" si="21"/>
        <v>0</v>
      </c>
      <c r="B1052" s="1" t="s">
        <v>25</v>
      </c>
      <c r="C1052" s="1">
        <v>40</v>
      </c>
      <c r="D1052" s="1">
        <v>1</v>
      </c>
    </row>
    <row r="1053" spans="1:4" x14ac:dyDescent="0.25">
      <c r="A1053" s="1">
        <f t="shared" si="21"/>
        <v>0</v>
      </c>
      <c r="B1053" s="1" t="s">
        <v>50</v>
      </c>
      <c r="C1053" s="1">
        <v>42.5</v>
      </c>
      <c r="D1053" s="1">
        <v>1</v>
      </c>
    </row>
    <row r="1054" spans="1:4" x14ac:dyDescent="0.25">
      <c r="A1054" s="1">
        <f t="shared" si="21"/>
        <v>0</v>
      </c>
      <c r="B1054" s="1" t="s">
        <v>55</v>
      </c>
      <c r="C1054" s="1">
        <v>153.6</v>
      </c>
      <c r="D1054" s="1">
        <v>12</v>
      </c>
    </row>
    <row r="1055" spans="1:4" x14ac:dyDescent="0.25">
      <c r="A1055" s="1">
        <f t="shared" si="21"/>
        <v>0</v>
      </c>
      <c r="B1055" s="1" t="s">
        <v>67</v>
      </c>
      <c r="C1055" s="1">
        <v>49.95</v>
      </c>
      <c r="D1055" s="1">
        <v>1</v>
      </c>
    </row>
    <row r="1056" spans="1:4" x14ac:dyDescent="0.25">
      <c r="A1056" s="1">
        <f t="shared" si="21"/>
        <v>0</v>
      </c>
      <c r="B1056" s="1" t="s">
        <v>44</v>
      </c>
      <c r="C1056" s="1">
        <v>38.4</v>
      </c>
      <c r="D1056" s="1">
        <v>1</v>
      </c>
    </row>
    <row r="1057" spans="1:4" x14ac:dyDescent="0.25">
      <c r="A1057" s="1">
        <f t="shared" si="21"/>
        <v>1057</v>
      </c>
      <c r="B1057" s="1" t="s">
        <v>107</v>
      </c>
    </row>
    <row r="1058" spans="1:4" x14ac:dyDescent="0.25">
      <c r="A1058" s="1">
        <f t="shared" si="21"/>
        <v>0</v>
      </c>
      <c r="B1058" s="1" t="s">
        <v>1</v>
      </c>
      <c r="C1058" s="1">
        <v>12</v>
      </c>
    </row>
    <row r="1059" spans="1:4" x14ac:dyDescent="0.25">
      <c r="A1059" s="1">
        <f t="shared" si="21"/>
        <v>0</v>
      </c>
      <c r="B1059" s="1" t="s">
        <v>2</v>
      </c>
      <c r="C1059" s="1">
        <v>525.95000000000005</v>
      </c>
    </row>
    <row r="1060" spans="1:4" x14ac:dyDescent="0.25">
      <c r="A1060" s="1">
        <f t="shared" si="21"/>
        <v>0</v>
      </c>
      <c r="B1060" s="1" t="s">
        <v>3</v>
      </c>
      <c r="C1060" s="1" t="s">
        <v>4</v>
      </c>
      <c r="D1060" s="1" t="s">
        <v>5</v>
      </c>
    </row>
    <row r="1061" spans="1:4" x14ac:dyDescent="0.25">
      <c r="A1061" s="1">
        <f t="shared" si="21"/>
        <v>0</v>
      </c>
      <c r="B1061" s="1" t="s">
        <v>8</v>
      </c>
      <c r="C1061" s="1">
        <v>328.8</v>
      </c>
      <c r="D1061" s="1">
        <v>6</v>
      </c>
    </row>
    <row r="1062" spans="1:4" x14ac:dyDescent="0.25">
      <c r="A1062" s="1">
        <f t="shared" si="21"/>
        <v>0</v>
      </c>
      <c r="B1062" s="1" t="s">
        <v>16</v>
      </c>
      <c r="C1062" s="1">
        <v>35.200000000000003</v>
      </c>
      <c r="D1062" s="1">
        <v>1</v>
      </c>
    </row>
    <row r="1063" spans="1:4" x14ac:dyDescent="0.25">
      <c r="A1063" s="1">
        <f t="shared" si="21"/>
        <v>0</v>
      </c>
      <c r="B1063" s="1" t="s">
        <v>49</v>
      </c>
      <c r="C1063" s="1">
        <v>40</v>
      </c>
      <c r="D1063" s="1">
        <v>1</v>
      </c>
    </row>
    <row r="1064" spans="1:4" x14ac:dyDescent="0.25">
      <c r="A1064" s="1">
        <f t="shared" si="21"/>
        <v>0</v>
      </c>
      <c r="B1064" s="1" t="s">
        <v>14</v>
      </c>
      <c r="C1064" s="1">
        <v>28.75</v>
      </c>
      <c r="D1064" s="1">
        <v>1</v>
      </c>
    </row>
    <row r="1065" spans="1:4" x14ac:dyDescent="0.25">
      <c r="A1065" s="1">
        <f t="shared" si="21"/>
        <v>0</v>
      </c>
      <c r="B1065" s="1" t="s">
        <v>20</v>
      </c>
      <c r="C1065" s="1">
        <v>38.4</v>
      </c>
      <c r="D1065" s="1">
        <v>1</v>
      </c>
    </row>
    <row r="1066" spans="1:4" x14ac:dyDescent="0.25">
      <c r="A1066" s="1">
        <f t="shared" si="21"/>
        <v>0</v>
      </c>
      <c r="B1066" s="1" t="s">
        <v>7</v>
      </c>
      <c r="C1066" s="1">
        <v>54.8</v>
      </c>
      <c r="D1066" s="1">
        <v>2</v>
      </c>
    </row>
    <row r="1067" spans="1:4" x14ac:dyDescent="0.25">
      <c r="A1067" s="1">
        <f t="shared" si="21"/>
        <v>1067</v>
      </c>
      <c r="B1067" s="1" t="s">
        <v>108</v>
      </c>
    </row>
    <row r="1068" spans="1:4" x14ac:dyDescent="0.25">
      <c r="A1068" s="1">
        <f t="shared" si="21"/>
        <v>0</v>
      </c>
      <c r="B1068" s="1" t="s">
        <v>1</v>
      </c>
      <c r="C1068" s="1">
        <v>45</v>
      </c>
    </row>
    <row r="1069" spans="1:4" x14ac:dyDescent="0.25">
      <c r="A1069" s="1">
        <f t="shared" si="21"/>
        <v>0</v>
      </c>
      <c r="B1069" s="1" t="s">
        <v>2</v>
      </c>
      <c r="C1069" s="1">
        <v>1762.15</v>
      </c>
    </row>
    <row r="1070" spans="1:4" x14ac:dyDescent="0.25">
      <c r="A1070" s="1">
        <f t="shared" si="21"/>
        <v>0</v>
      </c>
      <c r="B1070" s="1" t="s">
        <v>3</v>
      </c>
      <c r="C1070" s="1" t="s">
        <v>4</v>
      </c>
      <c r="D1070" s="1" t="s">
        <v>5</v>
      </c>
    </row>
    <row r="1071" spans="1:4" x14ac:dyDescent="0.25">
      <c r="A1071" s="1">
        <f t="shared" si="21"/>
        <v>0</v>
      </c>
      <c r="B1071" s="1" t="s">
        <v>20</v>
      </c>
      <c r="C1071" s="1">
        <v>230.4</v>
      </c>
      <c r="D1071" s="1">
        <v>6</v>
      </c>
    </row>
    <row r="1072" spans="1:4" x14ac:dyDescent="0.25">
      <c r="A1072" s="1">
        <f t="shared" si="21"/>
        <v>0</v>
      </c>
      <c r="B1072" s="1" t="s">
        <v>22</v>
      </c>
      <c r="C1072" s="1">
        <v>54.8</v>
      </c>
      <c r="D1072" s="1">
        <v>1</v>
      </c>
    </row>
    <row r="1073" spans="1:4" x14ac:dyDescent="0.25">
      <c r="A1073" s="1">
        <f t="shared" si="21"/>
        <v>0</v>
      </c>
      <c r="B1073" s="1" t="s">
        <v>8</v>
      </c>
      <c r="C1073" s="1">
        <v>274</v>
      </c>
      <c r="D1073" s="1">
        <v>5</v>
      </c>
    </row>
    <row r="1074" spans="1:4" x14ac:dyDescent="0.25">
      <c r="A1074" s="1">
        <f t="shared" si="21"/>
        <v>0</v>
      </c>
      <c r="B1074" s="1" t="s">
        <v>17</v>
      </c>
      <c r="C1074" s="1">
        <v>115.2</v>
      </c>
      <c r="D1074" s="1">
        <v>3</v>
      </c>
    </row>
    <row r="1075" spans="1:4" x14ac:dyDescent="0.25">
      <c r="A1075" s="1">
        <f t="shared" si="21"/>
        <v>0</v>
      </c>
      <c r="B1075" s="1" t="s">
        <v>15</v>
      </c>
      <c r="C1075" s="1">
        <v>68</v>
      </c>
      <c r="D1075" s="1">
        <v>1</v>
      </c>
    </row>
    <row r="1076" spans="1:4" x14ac:dyDescent="0.25">
      <c r="A1076" s="1">
        <f t="shared" si="21"/>
        <v>0</v>
      </c>
      <c r="B1076" s="1" t="s">
        <v>13</v>
      </c>
      <c r="C1076" s="1">
        <v>38.4</v>
      </c>
      <c r="D1076" s="1">
        <v>1</v>
      </c>
    </row>
    <row r="1077" spans="1:4" x14ac:dyDescent="0.25">
      <c r="A1077" s="1">
        <f t="shared" si="21"/>
        <v>0</v>
      </c>
      <c r="B1077" s="1" t="s">
        <v>10</v>
      </c>
      <c r="C1077" s="1">
        <v>76.8</v>
      </c>
      <c r="D1077" s="1">
        <v>2</v>
      </c>
    </row>
    <row r="1078" spans="1:4" x14ac:dyDescent="0.25">
      <c r="A1078" s="1">
        <f t="shared" si="21"/>
        <v>0</v>
      </c>
      <c r="B1078" s="1" t="s">
        <v>18</v>
      </c>
      <c r="C1078" s="1">
        <v>192</v>
      </c>
      <c r="D1078" s="1">
        <v>5</v>
      </c>
    </row>
    <row r="1079" spans="1:4" x14ac:dyDescent="0.25">
      <c r="A1079" s="1">
        <f t="shared" si="21"/>
        <v>0</v>
      </c>
      <c r="B1079" s="1" t="s">
        <v>12</v>
      </c>
      <c r="C1079" s="1">
        <v>105</v>
      </c>
      <c r="D1079" s="1">
        <v>3</v>
      </c>
    </row>
    <row r="1080" spans="1:4" x14ac:dyDescent="0.25">
      <c r="A1080" s="1">
        <f t="shared" si="21"/>
        <v>0</v>
      </c>
      <c r="B1080" s="1" t="s">
        <v>33</v>
      </c>
      <c r="C1080" s="1">
        <v>80</v>
      </c>
      <c r="D1080" s="1">
        <v>2</v>
      </c>
    </row>
    <row r="1081" spans="1:4" x14ac:dyDescent="0.25">
      <c r="A1081" s="1">
        <f t="shared" si="21"/>
        <v>0</v>
      </c>
      <c r="B1081" s="1" t="s">
        <v>35</v>
      </c>
      <c r="C1081" s="1">
        <v>38.4</v>
      </c>
      <c r="D1081" s="1">
        <v>2</v>
      </c>
    </row>
    <row r="1082" spans="1:4" x14ac:dyDescent="0.25">
      <c r="A1082" s="1">
        <f t="shared" si="21"/>
        <v>0</v>
      </c>
      <c r="B1082" s="1" t="s">
        <v>32</v>
      </c>
      <c r="C1082" s="1">
        <v>38.4</v>
      </c>
      <c r="D1082" s="1">
        <v>1</v>
      </c>
    </row>
    <row r="1083" spans="1:4" x14ac:dyDescent="0.25">
      <c r="A1083" s="1">
        <f t="shared" si="21"/>
        <v>0</v>
      </c>
      <c r="B1083" s="1" t="s">
        <v>6</v>
      </c>
      <c r="C1083" s="1">
        <v>54.8</v>
      </c>
      <c r="D1083" s="1">
        <v>2</v>
      </c>
    </row>
    <row r="1084" spans="1:4" x14ac:dyDescent="0.25">
      <c r="A1084" s="1">
        <f t="shared" si="21"/>
        <v>0</v>
      </c>
      <c r="B1084" s="1" t="s">
        <v>61</v>
      </c>
      <c r="C1084" s="1">
        <v>64</v>
      </c>
      <c r="D1084" s="1">
        <v>1</v>
      </c>
    </row>
    <row r="1085" spans="1:4" x14ac:dyDescent="0.25">
      <c r="A1085" s="1">
        <f t="shared" si="21"/>
        <v>0</v>
      </c>
      <c r="B1085" s="1" t="s">
        <v>55</v>
      </c>
      <c r="C1085" s="1">
        <v>76.8</v>
      </c>
      <c r="D1085" s="1">
        <v>4</v>
      </c>
    </row>
    <row r="1086" spans="1:4" x14ac:dyDescent="0.25">
      <c r="A1086" s="1">
        <f t="shared" si="21"/>
        <v>0</v>
      </c>
      <c r="B1086" s="1" t="s">
        <v>49</v>
      </c>
      <c r="C1086" s="1">
        <v>40</v>
      </c>
      <c r="D1086" s="1">
        <v>1</v>
      </c>
    </row>
    <row r="1087" spans="1:4" x14ac:dyDescent="0.25">
      <c r="A1087" s="1">
        <f t="shared" si="21"/>
        <v>0</v>
      </c>
      <c r="B1087" s="1" t="s">
        <v>41</v>
      </c>
      <c r="C1087" s="1">
        <v>28.75</v>
      </c>
      <c r="D1087" s="1">
        <v>1</v>
      </c>
    </row>
    <row r="1088" spans="1:4" x14ac:dyDescent="0.25">
      <c r="A1088" s="1">
        <f t="shared" si="21"/>
        <v>0</v>
      </c>
      <c r="B1088" s="1" t="s">
        <v>40</v>
      </c>
      <c r="C1088" s="1">
        <v>109.6</v>
      </c>
      <c r="D1088" s="1">
        <v>2</v>
      </c>
    </row>
    <row r="1089" spans="1:4" x14ac:dyDescent="0.25">
      <c r="A1089" s="1">
        <f t="shared" si="21"/>
        <v>0</v>
      </c>
      <c r="B1089" s="1" t="s">
        <v>62</v>
      </c>
      <c r="C1089" s="1">
        <v>76.8</v>
      </c>
      <c r="D1089" s="1">
        <v>2</v>
      </c>
    </row>
    <row r="1090" spans="1:4" x14ac:dyDescent="0.25">
      <c r="A1090" s="1">
        <f t="shared" ref="A1090:A1153" si="22">IF(COUNTIF($V$3:$Y$99, $B1090)&lt;&gt;0, ROW($B1090), 0)</f>
        <v>1090</v>
      </c>
      <c r="B1090" s="1" t="s">
        <v>109</v>
      </c>
    </row>
    <row r="1091" spans="1:4" x14ac:dyDescent="0.25">
      <c r="A1091" s="1">
        <f t="shared" si="22"/>
        <v>0</v>
      </c>
      <c r="B1091" s="1" t="s">
        <v>1</v>
      </c>
      <c r="C1091" s="1">
        <v>18</v>
      </c>
    </row>
    <row r="1092" spans="1:4" x14ac:dyDescent="0.25">
      <c r="A1092" s="1">
        <f t="shared" si="22"/>
        <v>0</v>
      </c>
      <c r="B1092" s="1" t="s">
        <v>2</v>
      </c>
      <c r="C1092" s="1">
        <v>766.44</v>
      </c>
    </row>
    <row r="1093" spans="1:4" x14ac:dyDescent="0.25">
      <c r="A1093" s="1">
        <f t="shared" si="22"/>
        <v>0</v>
      </c>
      <c r="B1093" s="1" t="s">
        <v>3</v>
      </c>
      <c r="C1093" s="1" t="s">
        <v>4</v>
      </c>
      <c r="D1093" s="1" t="s">
        <v>5</v>
      </c>
    </row>
    <row r="1094" spans="1:4" x14ac:dyDescent="0.25">
      <c r="A1094" s="1">
        <f t="shared" si="22"/>
        <v>0</v>
      </c>
      <c r="B1094" s="1" t="s">
        <v>16</v>
      </c>
      <c r="C1094" s="1">
        <v>35.200000000000003</v>
      </c>
      <c r="D1094" s="1">
        <v>1</v>
      </c>
    </row>
    <row r="1095" spans="1:4" x14ac:dyDescent="0.25">
      <c r="A1095" s="1">
        <f t="shared" si="22"/>
        <v>0</v>
      </c>
      <c r="B1095" s="1" t="s">
        <v>30</v>
      </c>
      <c r="C1095" s="1">
        <v>15.99</v>
      </c>
      <c r="D1095" s="1">
        <v>1</v>
      </c>
    </row>
    <row r="1096" spans="1:4" x14ac:dyDescent="0.25">
      <c r="A1096" s="1">
        <f t="shared" si="22"/>
        <v>0</v>
      </c>
      <c r="B1096" s="1" t="s">
        <v>8</v>
      </c>
      <c r="C1096" s="1">
        <v>109.6</v>
      </c>
      <c r="D1096" s="1">
        <v>2</v>
      </c>
    </row>
    <row r="1097" spans="1:4" x14ac:dyDescent="0.25">
      <c r="A1097" s="1">
        <f t="shared" si="22"/>
        <v>0</v>
      </c>
      <c r="B1097" s="1" t="s">
        <v>22</v>
      </c>
      <c r="C1097" s="1">
        <v>54.8</v>
      </c>
      <c r="D1097" s="1">
        <v>1</v>
      </c>
    </row>
    <row r="1098" spans="1:4" x14ac:dyDescent="0.25">
      <c r="A1098" s="1">
        <f t="shared" si="22"/>
        <v>0</v>
      </c>
      <c r="B1098" s="1" t="s">
        <v>62</v>
      </c>
      <c r="C1098" s="1">
        <v>38.4</v>
      </c>
      <c r="D1098" s="1">
        <v>1</v>
      </c>
    </row>
    <row r="1099" spans="1:4" x14ac:dyDescent="0.25">
      <c r="A1099" s="1">
        <f t="shared" si="22"/>
        <v>0</v>
      </c>
      <c r="B1099" s="1" t="s">
        <v>26</v>
      </c>
      <c r="C1099" s="1">
        <v>37.5</v>
      </c>
      <c r="D1099" s="1">
        <v>1</v>
      </c>
    </row>
    <row r="1100" spans="1:4" x14ac:dyDescent="0.25">
      <c r="A1100" s="1">
        <f t="shared" si="22"/>
        <v>0</v>
      </c>
      <c r="B1100" s="1" t="s">
        <v>18</v>
      </c>
      <c r="C1100" s="1">
        <v>38.4</v>
      </c>
      <c r="D1100" s="1">
        <v>1</v>
      </c>
    </row>
    <row r="1101" spans="1:4" x14ac:dyDescent="0.25">
      <c r="A1101" s="1">
        <f t="shared" si="22"/>
        <v>0</v>
      </c>
      <c r="B1101" s="1" t="s">
        <v>15</v>
      </c>
      <c r="C1101" s="1">
        <v>68</v>
      </c>
      <c r="D1101" s="1">
        <v>1</v>
      </c>
    </row>
    <row r="1102" spans="1:4" x14ac:dyDescent="0.25">
      <c r="A1102" s="1">
        <f t="shared" si="22"/>
        <v>0</v>
      </c>
      <c r="B1102" s="1" t="s">
        <v>21</v>
      </c>
      <c r="C1102" s="1">
        <v>109.6</v>
      </c>
      <c r="D1102" s="1">
        <v>2</v>
      </c>
    </row>
    <row r="1103" spans="1:4" x14ac:dyDescent="0.25">
      <c r="A1103" s="1">
        <f t="shared" si="22"/>
        <v>0</v>
      </c>
      <c r="B1103" s="1" t="s">
        <v>20</v>
      </c>
      <c r="C1103" s="1">
        <v>38.4</v>
      </c>
      <c r="D1103" s="1">
        <v>1</v>
      </c>
    </row>
    <row r="1104" spans="1:4" x14ac:dyDescent="0.25">
      <c r="A1104" s="1">
        <f t="shared" si="22"/>
        <v>0</v>
      </c>
      <c r="B1104" s="1" t="s">
        <v>12</v>
      </c>
      <c r="C1104" s="1">
        <v>35</v>
      </c>
      <c r="D1104" s="1">
        <v>1</v>
      </c>
    </row>
    <row r="1105" spans="1:4" x14ac:dyDescent="0.25">
      <c r="A1105" s="1">
        <f t="shared" si="22"/>
        <v>0</v>
      </c>
      <c r="B1105" s="1" t="s">
        <v>54</v>
      </c>
      <c r="C1105" s="1">
        <v>38.4</v>
      </c>
      <c r="D1105" s="1">
        <v>1</v>
      </c>
    </row>
    <row r="1106" spans="1:4" x14ac:dyDescent="0.25">
      <c r="A1106" s="1">
        <f t="shared" si="22"/>
        <v>0</v>
      </c>
      <c r="B1106" s="1" t="s">
        <v>44</v>
      </c>
      <c r="C1106" s="1">
        <v>38.4</v>
      </c>
      <c r="D1106" s="1">
        <v>1</v>
      </c>
    </row>
    <row r="1107" spans="1:4" x14ac:dyDescent="0.25">
      <c r="A1107" s="1">
        <f t="shared" si="22"/>
        <v>0</v>
      </c>
      <c r="B1107" s="1" t="s">
        <v>57</v>
      </c>
      <c r="C1107" s="1">
        <v>40</v>
      </c>
      <c r="D1107" s="1">
        <v>1</v>
      </c>
    </row>
    <row r="1108" spans="1:4" x14ac:dyDescent="0.25">
      <c r="A1108" s="1">
        <f t="shared" si="22"/>
        <v>0</v>
      </c>
      <c r="B1108" s="1" t="s">
        <v>45</v>
      </c>
      <c r="C1108" s="1">
        <v>28.75</v>
      </c>
      <c r="D1108" s="1">
        <v>1</v>
      </c>
    </row>
    <row r="1109" spans="1:4" x14ac:dyDescent="0.25">
      <c r="A1109" s="1">
        <f t="shared" si="22"/>
        <v>0</v>
      </c>
      <c r="B1109" s="1" t="s">
        <v>49</v>
      </c>
      <c r="C1109" s="1">
        <v>40</v>
      </c>
      <c r="D1109" s="1">
        <v>1</v>
      </c>
    </row>
    <row r="1110" spans="1:4" x14ac:dyDescent="0.25">
      <c r="A1110" s="1">
        <f t="shared" si="22"/>
        <v>1110</v>
      </c>
      <c r="B1110" s="1" t="s">
        <v>110</v>
      </c>
    </row>
    <row r="1111" spans="1:4" x14ac:dyDescent="0.25">
      <c r="A1111" s="1">
        <f t="shared" si="22"/>
        <v>0</v>
      </c>
      <c r="B1111" s="1" t="s">
        <v>1</v>
      </c>
      <c r="C1111" s="1">
        <v>46</v>
      </c>
    </row>
    <row r="1112" spans="1:4" x14ac:dyDescent="0.25">
      <c r="A1112" s="1">
        <f t="shared" si="22"/>
        <v>0</v>
      </c>
      <c r="B1112" s="1" t="s">
        <v>2</v>
      </c>
      <c r="C1112" s="1">
        <v>1821.31</v>
      </c>
    </row>
    <row r="1113" spans="1:4" x14ac:dyDescent="0.25">
      <c r="A1113" s="1">
        <f t="shared" si="22"/>
        <v>0</v>
      </c>
      <c r="B1113" s="1" t="s">
        <v>3</v>
      </c>
      <c r="C1113" s="1" t="s">
        <v>4</v>
      </c>
      <c r="D1113" s="1" t="s">
        <v>5</v>
      </c>
    </row>
    <row r="1114" spans="1:4" x14ac:dyDescent="0.25">
      <c r="A1114" s="1">
        <f t="shared" si="22"/>
        <v>0</v>
      </c>
      <c r="B1114" s="1" t="s">
        <v>14</v>
      </c>
      <c r="C1114" s="1">
        <v>57.5</v>
      </c>
      <c r="D1114" s="1">
        <v>2</v>
      </c>
    </row>
    <row r="1115" spans="1:4" x14ac:dyDescent="0.25">
      <c r="A1115" s="1">
        <f t="shared" si="22"/>
        <v>0</v>
      </c>
      <c r="B1115" s="1" t="s">
        <v>9</v>
      </c>
      <c r="C1115" s="1">
        <v>109.6</v>
      </c>
      <c r="D1115" s="1">
        <v>2</v>
      </c>
    </row>
    <row r="1116" spans="1:4" x14ac:dyDescent="0.25">
      <c r="A1116" s="1">
        <f t="shared" si="22"/>
        <v>0</v>
      </c>
      <c r="B1116" s="1" t="s">
        <v>19</v>
      </c>
      <c r="C1116" s="1">
        <v>57.5</v>
      </c>
      <c r="D1116" s="1">
        <v>2</v>
      </c>
    </row>
    <row r="1117" spans="1:4" x14ac:dyDescent="0.25">
      <c r="A1117" s="1">
        <f t="shared" si="22"/>
        <v>0</v>
      </c>
      <c r="B1117" s="1" t="s">
        <v>12</v>
      </c>
      <c r="C1117" s="1">
        <v>175</v>
      </c>
      <c r="D1117" s="1">
        <v>5</v>
      </c>
    </row>
    <row r="1118" spans="1:4" x14ac:dyDescent="0.25">
      <c r="A1118" s="1">
        <f t="shared" si="22"/>
        <v>0</v>
      </c>
      <c r="B1118" s="1" t="s">
        <v>21</v>
      </c>
      <c r="C1118" s="1">
        <v>109.6</v>
      </c>
      <c r="D1118" s="1">
        <v>2</v>
      </c>
    </row>
    <row r="1119" spans="1:4" x14ac:dyDescent="0.25">
      <c r="A1119" s="1">
        <f t="shared" si="22"/>
        <v>0</v>
      </c>
      <c r="B1119" s="1" t="s">
        <v>20</v>
      </c>
      <c r="C1119" s="1">
        <v>345.6</v>
      </c>
      <c r="D1119" s="1">
        <v>9</v>
      </c>
    </row>
    <row r="1120" spans="1:4" x14ac:dyDescent="0.25">
      <c r="A1120" s="1">
        <f t="shared" si="22"/>
        <v>0</v>
      </c>
      <c r="B1120" s="1" t="s">
        <v>13</v>
      </c>
      <c r="C1120" s="1">
        <v>76.8</v>
      </c>
      <c r="D1120" s="1">
        <v>2</v>
      </c>
    </row>
    <row r="1121" spans="1:4" x14ac:dyDescent="0.25">
      <c r="A1121" s="1">
        <f t="shared" si="22"/>
        <v>0</v>
      </c>
      <c r="B1121" s="1" t="s">
        <v>40</v>
      </c>
      <c r="C1121" s="1">
        <v>109.6</v>
      </c>
      <c r="D1121" s="1">
        <v>2</v>
      </c>
    </row>
    <row r="1122" spans="1:4" x14ac:dyDescent="0.25">
      <c r="A1122" s="1">
        <f t="shared" si="22"/>
        <v>0</v>
      </c>
      <c r="B1122" s="1" t="s">
        <v>8</v>
      </c>
      <c r="C1122" s="1">
        <v>109.6</v>
      </c>
      <c r="D1122" s="1">
        <v>2</v>
      </c>
    </row>
    <row r="1123" spans="1:4" x14ac:dyDescent="0.25">
      <c r="A1123" s="1">
        <f t="shared" si="22"/>
        <v>0</v>
      </c>
      <c r="B1123" s="1" t="s">
        <v>31</v>
      </c>
      <c r="C1123" s="1">
        <v>34.56</v>
      </c>
      <c r="D1123" s="1">
        <v>1</v>
      </c>
    </row>
    <row r="1124" spans="1:4" x14ac:dyDescent="0.25">
      <c r="A1124" s="1">
        <f t="shared" si="22"/>
        <v>0</v>
      </c>
      <c r="B1124" s="1" t="s">
        <v>18</v>
      </c>
      <c r="C1124" s="1">
        <v>153.6</v>
      </c>
      <c r="D1124" s="1">
        <v>4</v>
      </c>
    </row>
    <row r="1125" spans="1:4" x14ac:dyDescent="0.25">
      <c r="A1125" s="1">
        <f t="shared" si="22"/>
        <v>0</v>
      </c>
      <c r="B1125" s="1" t="s">
        <v>17</v>
      </c>
      <c r="C1125" s="1">
        <v>153.6</v>
      </c>
      <c r="D1125" s="1">
        <v>5</v>
      </c>
    </row>
    <row r="1126" spans="1:4" x14ac:dyDescent="0.25">
      <c r="A1126" s="1">
        <f t="shared" si="22"/>
        <v>0</v>
      </c>
      <c r="B1126" s="1" t="s">
        <v>37</v>
      </c>
      <c r="C1126" s="1">
        <v>54.8</v>
      </c>
      <c r="D1126" s="1">
        <v>1</v>
      </c>
    </row>
    <row r="1127" spans="1:4" x14ac:dyDescent="0.25">
      <c r="A1127" s="1">
        <f t="shared" si="22"/>
        <v>0</v>
      </c>
      <c r="B1127" s="1" t="s">
        <v>16</v>
      </c>
      <c r="C1127" s="1">
        <v>35.200000000000003</v>
      </c>
      <c r="D1127" s="1">
        <v>1</v>
      </c>
    </row>
    <row r="1128" spans="1:4" x14ac:dyDescent="0.25">
      <c r="A1128" s="1">
        <f t="shared" si="22"/>
        <v>0</v>
      </c>
      <c r="B1128" s="1" t="s">
        <v>6</v>
      </c>
      <c r="C1128" s="1">
        <v>54.8</v>
      </c>
      <c r="D1128" s="1">
        <v>1</v>
      </c>
    </row>
    <row r="1129" spans="1:4" x14ac:dyDescent="0.25">
      <c r="A1129" s="1">
        <f t="shared" si="22"/>
        <v>0</v>
      </c>
      <c r="B1129" s="1" t="s">
        <v>49</v>
      </c>
      <c r="C1129" s="1">
        <v>40</v>
      </c>
      <c r="D1129" s="1">
        <v>1</v>
      </c>
    </row>
    <row r="1130" spans="1:4" x14ac:dyDescent="0.25">
      <c r="A1130" s="1">
        <f t="shared" si="22"/>
        <v>0</v>
      </c>
      <c r="B1130" s="1" t="s">
        <v>43</v>
      </c>
      <c r="C1130" s="1">
        <v>28.75</v>
      </c>
      <c r="D1130" s="1">
        <v>1</v>
      </c>
    </row>
    <row r="1131" spans="1:4" x14ac:dyDescent="0.25">
      <c r="A1131" s="1">
        <f t="shared" si="22"/>
        <v>0</v>
      </c>
      <c r="B1131" s="1" t="s">
        <v>44</v>
      </c>
      <c r="C1131" s="1">
        <v>76.8</v>
      </c>
      <c r="D1131" s="1">
        <v>2</v>
      </c>
    </row>
    <row r="1132" spans="1:4" x14ac:dyDescent="0.25">
      <c r="A1132" s="1">
        <f t="shared" si="22"/>
        <v>0</v>
      </c>
      <c r="B1132" s="1" t="s">
        <v>51</v>
      </c>
      <c r="C1132" s="1">
        <v>38.4</v>
      </c>
      <c r="D1132" s="1">
        <v>1</v>
      </c>
    </row>
    <row r="1133" spans="1:4" x14ac:dyDescent="0.25">
      <c r="A1133" s="1">
        <f t="shared" si="22"/>
        <v>1133</v>
      </c>
      <c r="B1133" s="1" t="s">
        <v>111</v>
      </c>
    </row>
    <row r="1134" spans="1:4" x14ac:dyDescent="0.25">
      <c r="A1134" s="1">
        <f t="shared" si="22"/>
        <v>0</v>
      </c>
      <c r="B1134" s="1" t="s">
        <v>1</v>
      </c>
      <c r="C1134" s="1">
        <v>60</v>
      </c>
    </row>
    <row r="1135" spans="1:4" x14ac:dyDescent="0.25">
      <c r="A1135" s="1">
        <f t="shared" si="22"/>
        <v>0</v>
      </c>
      <c r="B1135" s="1" t="s">
        <v>2</v>
      </c>
      <c r="C1135" s="1">
        <v>2398.94</v>
      </c>
    </row>
    <row r="1136" spans="1:4" x14ac:dyDescent="0.25">
      <c r="A1136" s="1">
        <f t="shared" si="22"/>
        <v>0</v>
      </c>
      <c r="B1136" s="1" t="s">
        <v>3</v>
      </c>
      <c r="C1136" s="1" t="s">
        <v>4</v>
      </c>
      <c r="D1136" s="1" t="s">
        <v>5</v>
      </c>
    </row>
    <row r="1137" spans="1:4" x14ac:dyDescent="0.25">
      <c r="A1137" s="1">
        <f t="shared" si="22"/>
        <v>0</v>
      </c>
      <c r="B1137" s="1" t="s">
        <v>40</v>
      </c>
      <c r="C1137" s="1">
        <v>164.4</v>
      </c>
      <c r="D1137" s="1">
        <v>3</v>
      </c>
    </row>
    <row r="1138" spans="1:4" x14ac:dyDescent="0.25">
      <c r="A1138" s="1">
        <f t="shared" si="22"/>
        <v>0</v>
      </c>
      <c r="B1138" s="1" t="s">
        <v>20</v>
      </c>
      <c r="C1138" s="1">
        <v>230.4</v>
      </c>
      <c r="D1138" s="1">
        <v>6</v>
      </c>
    </row>
    <row r="1139" spans="1:4" x14ac:dyDescent="0.25">
      <c r="A1139" s="1">
        <f t="shared" si="22"/>
        <v>0</v>
      </c>
      <c r="B1139" s="1" t="s">
        <v>18</v>
      </c>
      <c r="C1139" s="1">
        <v>153.6</v>
      </c>
      <c r="D1139" s="1">
        <v>4</v>
      </c>
    </row>
    <row r="1140" spans="1:4" x14ac:dyDescent="0.25">
      <c r="A1140" s="1">
        <f t="shared" si="22"/>
        <v>0</v>
      </c>
      <c r="B1140" s="1" t="s">
        <v>28</v>
      </c>
      <c r="C1140" s="1">
        <v>38.4</v>
      </c>
      <c r="D1140" s="1">
        <v>1</v>
      </c>
    </row>
    <row r="1141" spans="1:4" x14ac:dyDescent="0.25">
      <c r="A1141" s="1">
        <f t="shared" si="22"/>
        <v>0</v>
      </c>
      <c r="B1141" s="1" t="s">
        <v>17</v>
      </c>
      <c r="C1141" s="1">
        <v>192</v>
      </c>
      <c r="D1141" s="1">
        <v>5</v>
      </c>
    </row>
    <row r="1142" spans="1:4" x14ac:dyDescent="0.25">
      <c r="A1142" s="1">
        <f t="shared" si="22"/>
        <v>0</v>
      </c>
      <c r="B1142" s="1" t="s">
        <v>7</v>
      </c>
      <c r="C1142" s="1">
        <v>274</v>
      </c>
      <c r="D1142" s="1">
        <v>6</v>
      </c>
    </row>
    <row r="1143" spans="1:4" x14ac:dyDescent="0.25">
      <c r="A1143" s="1">
        <f t="shared" si="22"/>
        <v>0</v>
      </c>
      <c r="B1143" s="1" t="s">
        <v>22</v>
      </c>
      <c r="C1143" s="1">
        <v>109.6</v>
      </c>
      <c r="D1143" s="1">
        <v>2</v>
      </c>
    </row>
    <row r="1144" spans="1:4" x14ac:dyDescent="0.25">
      <c r="A1144" s="1">
        <f t="shared" si="22"/>
        <v>0</v>
      </c>
      <c r="B1144" s="1" t="s">
        <v>12</v>
      </c>
      <c r="C1144" s="1">
        <v>140</v>
      </c>
      <c r="D1144" s="1">
        <v>4</v>
      </c>
    </row>
    <row r="1145" spans="1:4" x14ac:dyDescent="0.25">
      <c r="A1145" s="1">
        <f t="shared" si="22"/>
        <v>0</v>
      </c>
      <c r="B1145" s="1" t="s">
        <v>16</v>
      </c>
      <c r="C1145" s="1">
        <v>105.6</v>
      </c>
      <c r="D1145" s="1">
        <v>3</v>
      </c>
    </row>
    <row r="1146" spans="1:4" x14ac:dyDescent="0.25">
      <c r="A1146" s="1">
        <f t="shared" si="22"/>
        <v>0</v>
      </c>
      <c r="B1146" s="1" t="s">
        <v>14</v>
      </c>
      <c r="C1146" s="1">
        <v>28.75</v>
      </c>
      <c r="D1146" s="1">
        <v>1</v>
      </c>
    </row>
    <row r="1147" spans="1:4" x14ac:dyDescent="0.25">
      <c r="A1147" s="1">
        <f t="shared" si="22"/>
        <v>0</v>
      </c>
      <c r="B1147" s="1" t="s">
        <v>53</v>
      </c>
      <c r="C1147" s="1">
        <v>28.75</v>
      </c>
      <c r="D1147" s="1">
        <v>1</v>
      </c>
    </row>
    <row r="1148" spans="1:4" x14ac:dyDescent="0.25">
      <c r="A1148" s="1">
        <f t="shared" si="22"/>
        <v>0</v>
      </c>
      <c r="B1148" s="1" t="s">
        <v>19</v>
      </c>
      <c r="C1148" s="1">
        <v>28.75</v>
      </c>
      <c r="D1148" s="1">
        <v>1</v>
      </c>
    </row>
    <row r="1149" spans="1:4" x14ac:dyDescent="0.25">
      <c r="A1149" s="1">
        <f t="shared" si="22"/>
        <v>0</v>
      </c>
      <c r="B1149" s="1" t="s">
        <v>33</v>
      </c>
      <c r="C1149" s="1">
        <v>200</v>
      </c>
      <c r="D1149" s="1">
        <v>5</v>
      </c>
    </row>
    <row r="1150" spans="1:4" x14ac:dyDescent="0.25">
      <c r="A1150" s="1">
        <f t="shared" si="22"/>
        <v>0</v>
      </c>
      <c r="B1150" s="1" t="s">
        <v>25</v>
      </c>
      <c r="C1150" s="1">
        <v>40</v>
      </c>
      <c r="D1150" s="1">
        <v>1</v>
      </c>
    </row>
    <row r="1151" spans="1:4" x14ac:dyDescent="0.25">
      <c r="A1151" s="1">
        <f t="shared" si="22"/>
        <v>0</v>
      </c>
      <c r="B1151" s="1" t="s">
        <v>6</v>
      </c>
      <c r="C1151" s="1">
        <v>164.4</v>
      </c>
      <c r="D1151" s="1">
        <v>3</v>
      </c>
    </row>
    <row r="1152" spans="1:4" x14ac:dyDescent="0.25">
      <c r="A1152" s="1">
        <f t="shared" si="22"/>
        <v>0</v>
      </c>
      <c r="B1152" s="1" t="s">
        <v>37</v>
      </c>
      <c r="C1152" s="1">
        <v>54.8</v>
      </c>
      <c r="D1152" s="1">
        <v>1</v>
      </c>
    </row>
    <row r="1153" spans="1:4" x14ac:dyDescent="0.25">
      <c r="A1153" s="1">
        <f t="shared" si="22"/>
        <v>0</v>
      </c>
      <c r="B1153" s="1" t="s">
        <v>21</v>
      </c>
      <c r="C1153" s="1">
        <v>164.4</v>
      </c>
      <c r="D1153" s="1">
        <v>3</v>
      </c>
    </row>
    <row r="1154" spans="1:4" x14ac:dyDescent="0.25">
      <c r="A1154" s="1">
        <f t="shared" ref="A1154:A1217" si="23">IF(COUNTIF($V$3:$Y$99, $B1154)&lt;&gt;0, ROW($B1154), 0)</f>
        <v>0</v>
      </c>
      <c r="B1154" s="1" t="s">
        <v>30</v>
      </c>
      <c r="C1154" s="1">
        <v>15.99</v>
      </c>
      <c r="D1154" s="1">
        <v>1</v>
      </c>
    </row>
    <row r="1155" spans="1:4" x14ac:dyDescent="0.25">
      <c r="A1155" s="1">
        <f t="shared" si="23"/>
        <v>0</v>
      </c>
      <c r="B1155" s="1" t="s">
        <v>8</v>
      </c>
      <c r="C1155" s="1">
        <v>109.6</v>
      </c>
      <c r="D1155" s="1">
        <v>5</v>
      </c>
    </row>
    <row r="1156" spans="1:4" x14ac:dyDescent="0.25">
      <c r="A1156" s="1">
        <f t="shared" si="23"/>
        <v>0</v>
      </c>
      <c r="B1156" s="1" t="s">
        <v>67</v>
      </c>
      <c r="C1156" s="1">
        <v>49.95</v>
      </c>
      <c r="D1156" s="1">
        <v>1</v>
      </c>
    </row>
    <row r="1157" spans="1:4" x14ac:dyDescent="0.25">
      <c r="A1157" s="1">
        <f t="shared" si="23"/>
        <v>0</v>
      </c>
      <c r="B1157" s="1" t="s">
        <v>56</v>
      </c>
      <c r="C1157" s="1">
        <v>38.4</v>
      </c>
      <c r="D1157" s="1">
        <v>1</v>
      </c>
    </row>
    <row r="1158" spans="1:4" x14ac:dyDescent="0.25">
      <c r="A1158" s="1">
        <f t="shared" si="23"/>
        <v>0</v>
      </c>
      <c r="B1158" s="1" t="s">
        <v>54</v>
      </c>
      <c r="C1158" s="1">
        <v>38.4</v>
      </c>
      <c r="D1158" s="1">
        <v>1</v>
      </c>
    </row>
    <row r="1159" spans="1:4" x14ac:dyDescent="0.25">
      <c r="A1159" s="1">
        <f t="shared" si="23"/>
        <v>0</v>
      </c>
      <c r="B1159" s="1" t="s">
        <v>45</v>
      </c>
      <c r="C1159" s="1">
        <v>28.75</v>
      </c>
      <c r="D1159" s="1">
        <v>1</v>
      </c>
    </row>
    <row r="1160" spans="1:4" x14ac:dyDescent="0.25">
      <c r="A1160" s="1">
        <f t="shared" si="23"/>
        <v>1160</v>
      </c>
      <c r="B1160" s="1" t="s">
        <v>112</v>
      </c>
    </row>
    <row r="1161" spans="1:4" x14ac:dyDescent="0.25">
      <c r="A1161" s="1">
        <f t="shared" si="23"/>
        <v>0</v>
      </c>
      <c r="B1161" s="1" t="s">
        <v>1</v>
      </c>
      <c r="C1161" s="1">
        <v>28</v>
      </c>
    </row>
    <row r="1162" spans="1:4" x14ac:dyDescent="0.25">
      <c r="A1162" s="1">
        <f t="shared" si="23"/>
        <v>0</v>
      </c>
      <c r="B1162" s="1" t="s">
        <v>2</v>
      </c>
      <c r="C1162" s="1">
        <v>1214.8900000000001</v>
      </c>
    </row>
    <row r="1163" spans="1:4" x14ac:dyDescent="0.25">
      <c r="A1163" s="1">
        <f t="shared" si="23"/>
        <v>0</v>
      </c>
      <c r="B1163" s="1" t="s">
        <v>3</v>
      </c>
      <c r="C1163" s="1" t="s">
        <v>4</v>
      </c>
      <c r="D1163" s="1" t="s">
        <v>5</v>
      </c>
    </row>
    <row r="1164" spans="1:4" x14ac:dyDescent="0.25">
      <c r="A1164" s="1">
        <f t="shared" si="23"/>
        <v>0</v>
      </c>
      <c r="B1164" s="1" t="s">
        <v>20</v>
      </c>
      <c r="C1164" s="1">
        <v>76.8</v>
      </c>
      <c r="D1164" s="1">
        <v>2</v>
      </c>
    </row>
    <row r="1165" spans="1:4" x14ac:dyDescent="0.25">
      <c r="A1165" s="1">
        <f t="shared" si="23"/>
        <v>0</v>
      </c>
      <c r="B1165" s="1" t="s">
        <v>8</v>
      </c>
      <c r="C1165" s="1">
        <v>219.2</v>
      </c>
      <c r="D1165" s="1">
        <v>4</v>
      </c>
    </row>
    <row r="1166" spans="1:4" x14ac:dyDescent="0.25">
      <c r="A1166" s="1">
        <f t="shared" si="23"/>
        <v>0</v>
      </c>
      <c r="B1166" s="1" t="s">
        <v>12</v>
      </c>
      <c r="C1166" s="1">
        <v>105</v>
      </c>
      <c r="D1166" s="1">
        <v>3</v>
      </c>
    </row>
    <row r="1167" spans="1:4" x14ac:dyDescent="0.25">
      <c r="A1167" s="1">
        <f t="shared" si="23"/>
        <v>0</v>
      </c>
      <c r="B1167" s="1" t="s">
        <v>49</v>
      </c>
      <c r="C1167" s="1">
        <v>40</v>
      </c>
      <c r="D1167" s="1">
        <v>1</v>
      </c>
    </row>
    <row r="1168" spans="1:4" x14ac:dyDescent="0.25">
      <c r="A1168" s="1">
        <f t="shared" si="23"/>
        <v>0</v>
      </c>
      <c r="B1168" s="1" t="s">
        <v>17</v>
      </c>
      <c r="C1168" s="1">
        <v>115.2</v>
      </c>
      <c r="D1168" s="1">
        <v>3</v>
      </c>
    </row>
    <row r="1169" spans="1:4" x14ac:dyDescent="0.25">
      <c r="A1169" s="1">
        <f t="shared" si="23"/>
        <v>0</v>
      </c>
      <c r="B1169" s="1" t="s">
        <v>16</v>
      </c>
      <c r="C1169" s="1">
        <v>70.400000000000006</v>
      </c>
      <c r="D1169" s="1">
        <v>2</v>
      </c>
    </row>
    <row r="1170" spans="1:4" x14ac:dyDescent="0.25">
      <c r="A1170" s="1">
        <f t="shared" si="23"/>
        <v>0</v>
      </c>
      <c r="B1170" s="1" t="s">
        <v>15</v>
      </c>
      <c r="C1170" s="1">
        <v>68</v>
      </c>
      <c r="D1170" s="1">
        <v>1</v>
      </c>
    </row>
    <row r="1171" spans="1:4" x14ac:dyDescent="0.25">
      <c r="A1171" s="1">
        <f t="shared" si="23"/>
        <v>0</v>
      </c>
      <c r="B1171" s="1" t="s">
        <v>74</v>
      </c>
      <c r="C1171" s="1">
        <v>74</v>
      </c>
      <c r="D1171" s="1">
        <v>1</v>
      </c>
    </row>
    <row r="1172" spans="1:4" x14ac:dyDescent="0.25">
      <c r="A1172" s="1">
        <f t="shared" si="23"/>
        <v>0</v>
      </c>
      <c r="B1172" s="1" t="s">
        <v>53</v>
      </c>
      <c r="C1172" s="1">
        <v>28.75</v>
      </c>
      <c r="D1172" s="1">
        <v>1</v>
      </c>
    </row>
    <row r="1173" spans="1:4" x14ac:dyDescent="0.25">
      <c r="A1173" s="1">
        <f t="shared" si="23"/>
        <v>0</v>
      </c>
      <c r="B1173" s="1" t="s">
        <v>18</v>
      </c>
      <c r="C1173" s="1">
        <v>38.4</v>
      </c>
      <c r="D1173" s="1">
        <v>1</v>
      </c>
    </row>
    <row r="1174" spans="1:4" x14ac:dyDescent="0.25">
      <c r="A1174" s="1">
        <f t="shared" si="23"/>
        <v>0</v>
      </c>
      <c r="B1174" s="1" t="s">
        <v>40</v>
      </c>
      <c r="C1174" s="1">
        <v>109.6</v>
      </c>
      <c r="D1174" s="1">
        <v>2</v>
      </c>
    </row>
    <row r="1175" spans="1:4" x14ac:dyDescent="0.25">
      <c r="A1175" s="1">
        <f t="shared" si="23"/>
        <v>0</v>
      </c>
      <c r="B1175" s="1" t="s">
        <v>30</v>
      </c>
      <c r="C1175" s="1">
        <v>15.99</v>
      </c>
      <c r="D1175" s="1">
        <v>1</v>
      </c>
    </row>
    <row r="1176" spans="1:4" x14ac:dyDescent="0.25">
      <c r="A1176" s="1">
        <f t="shared" si="23"/>
        <v>0</v>
      </c>
      <c r="B1176" s="1" t="s">
        <v>13</v>
      </c>
      <c r="C1176" s="1">
        <v>38.4</v>
      </c>
      <c r="D1176" s="1">
        <v>1</v>
      </c>
    </row>
    <row r="1177" spans="1:4" x14ac:dyDescent="0.25">
      <c r="A1177" s="1">
        <f t="shared" si="23"/>
        <v>0</v>
      </c>
      <c r="B1177" s="1" t="s">
        <v>21</v>
      </c>
      <c r="C1177" s="1">
        <v>109.6</v>
      </c>
      <c r="D1177" s="1">
        <v>2</v>
      </c>
    </row>
    <row r="1178" spans="1:4" x14ac:dyDescent="0.25">
      <c r="A1178" s="1">
        <f t="shared" si="23"/>
        <v>0</v>
      </c>
      <c r="B1178" s="1" t="s">
        <v>41</v>
      </c>
      <c r="C1178" s="1">
        <v>28.75</v>
      </c>
      <c r="D1178" s="1">
        <v>1</v>
      </c>
    </row>
    <row r="1179" spans="1:4" x14ac:dyDescent="0.25">
      <c r="A1179" s="1">
        <f t="shared" si="23"/>
        <v>0</v>
      </c>
      <c r="B1179" s="1" t="s">
        <v>54</v>
      </c>
      <c r="C1179" s="1">
        <v>76.8</v>
      </c>
      <c r="D1179" s="1">
        <v>2</v>
      </c>
    </row>
    <row r="1180" spans="1:4" x14ac:dyDescent="0.25">
      <c r="A1180" s="1">
        <f t="shared" si="23"/>
        <v>1180</v>
      </c>
      <c r="B1180" s="1" t="s">
        <v>113</v>
      </c>
    </row>
    <row r="1181" spans="1:4" x14ac:dyDescent="0.25">
      <c r="A1181" s="1">
        <f t="shared" si="23"/>
        <v>0</v>
      </c>
      <c r="B1181" s="1" t="s">
        <v>1</v>
      </c>
      <c r="C1181" s="1">
        <v>64</v>
      </c>
    </row>
    <row r="1182" spans="1:4" x14ac:dyDescent="0.25">
      <c r="A1182" s="1">
        <f t="shared" si="23"/>
        <v>0</v>
      </c>
      <c r="B1182" s="1" t="s">
        <v>2</v>
      </c>
      <c r="C1182" s="1">
        <v>2577.0500000000002</v>
      </c>
    </row>
    <row r="1183" spans="1:4" x14ac:dyDescent="0.25">
      <c r="A1183" s="1">
        <f t="shared" si="23"/>
        <v>0</v>
      </c>
      <c r="B1183" s="1" t="s">
        <v>3</v>
      </c>
      <c r="C1183" s="1" t="s">
        <v>4</v>
      </c>
      <c r="D1183" s="1" t="s">
        <v>5</v>
      </c>
    </row>
    <row r="1184" spans="1:4" x14ac:dyDescent="0.25">
      <c r="A1184" s="1">
        <f t="shared" si="23"/>
        <v>0</v>
      </c>
      <c r="B1184" s="1" t="s">
        <v>20</v>
      </c>
      <c r="C1184" s="1">
        <v>268.8</v>
      </c>
      <c r="D1184" s="1">
        <v>7</v>
      </c>
    </row>
    <row r="1185" spans="1:4" x14ac:dyDescent="0.25">
      <c r="A1185" s="1">
        <f t="shared" si="23"/>
        <v>0</v>
      </c>
      <c r="B1185" s="1" t="s">
        <v>8</v>
      </c>
      <c r="C1185" s="1">
        <v>767.2</v>
      </c>
      <c r="D1185" s="1">
        <v>15</v>
      </c>
    </row>
    <row r="1186" spans="1:4" x14ac:dyDescent="0.25">
      <c r="A1186" s="1">
        <f t="shared" si="23"/>
        <v>0</v>
      </c>
      <c r="B1186" s="1" t="s">
        <v>17</v>
      </c>
      <c r="C1186" s="1">
        <v>76.8</v>
      </c>
      <c r="D1186" s="1">
        <v>3</v>
      </c>
    </row>
    <row r="1187" spans="1:4" x14ac:dyDescent="0.25">
      <c r="A1187" s="1">
        <f t="shared" si="23"/>
        <v>0</v>
      </c>
      <c r="B1187" s="1" t="s">
        <v>12</v>
      </c>
      <c r="C1187" s="1">
        <v>175</v>
      </c>
      <c r="D1187" s="1">
        <v>6</v>
      </c>
    </row>
    <row r="1188" spans="1:4" x14ac:dyDescent="0.25">
      <c r="A1188" s="1">
        <f t="shared" si="23"/>
        <v>0</v>
      </c>
      <c r="B1188" s="1" t="s">
        <v>21</v>
      </c>
      <c r="C1188" s="1">
        <v>164.4</v>
      </c>
      <c r="D1188" s="1">
        <v>3</v>
      </c>
    </row>
    <row r="1189" spans="1:4" x14ac:dyDescent="0.25">
      <c r="A1189" s="1">
        <f t="shared" si="23"/>
        <v>0</v>
      </c>
      <c r="B1189" s="1" t="s">
        <v>18</v>
      </c>
      <c r="C1189" s="1">
        <v>384</v>
      </c>
      <c r="D1189" s="1">
        <v>11</v>
      </c>
    </row>
    <row r="1190" spans="1:4" x14ac:dyDescent="0.25">
      <c r="A1190" s="1">
        <f t="shared" si="23"/>
        <v>0</v>
      </c>
      <c r="B1190" s="1" t="s">
        <v>40</v>
      </c>
      <c r="C1190" s="1">
        <v>164.4</v>
      </c>
      <c r="D1190" s="1">
        <v>3</v>
      </c>
    </row>
    <row r="1191" spans="1:4" x14ac:dyDescent="0.25">
      <c r="A1191" s="1">
        <f t="shared" si="23"/>
        <v>0</v>
      </c>
      <c r="B1191" s="1" t="s">
        <v>49</v>
      </c>
      <c r="C1191" s="1">
        <v>40</v>
      </c>
      <c r="D1191" s="1">
        <v>1</v>
      </c>
    </row>
    <row r="1192" spans="1:4" x14ac:dyDescent="0.25">
      <c r="A1192" s="1">
        <f t="shared" si="23"/>
        <v>0</v>
      </c>
      <c r="B1192" s="1" t="s">
        <v>51</v>
      </c>
      <c r="C1192" s="1">
        <v>38.4</v>
      </c>
      <c r="D1192" s="1">
        <v>1</v>
      </c>
    </row>
    <row r="1193" spans="1:4" x14ac:dyDescent="0.25">
      <c r="A1193" s="1">
        <f t="shared" si="23"/>
        <v>0</v>
      </c>
      <c r="B1193" s="1" t="s">
        <v>35</v>
      </c>
      <c r="C1193" s="1">
        <v>38.4</v>
      </c>
      <c r="D1193" s="1">
        <v>1</v>
      </c>
    </row>
    <row r="1194" spans="1:4" x14ac:dyDescent="0.25">
      <c r="A1194" s="1">
        <f t="shared" si="23"/>
        <v>0</v>
      </c>
      <c r="B1194" s="1" t="s">
        <v>28</v>
      </c>
      <c r="C1194" s="1">
        <v>38.4</v>
      </c>
      <c r="D1194" s="1">
        <v>1</v>
      </c>
    </row>
    <row r="1195" spans="1:4" x14ac:dyDescent="0.25">
      <c r="A1195" s="1">
        <f t="shared" si="23"/>
        <v>0</v>
      </c>
      <c r="B1195" s="1" t="s">
        <v>31</v>
      </c>
      <c r="C1195" s="1">
        <v>34.56</v>
      </c>
      <c r="D1195" s="1">
        <v>1</v>
      </c>
    </row>
    <row r="1196" spans="1:4" x14ac:dyDescent="0.25">
      <c r="A1196" s="1">
        <f t="shared" si="23"/>
        <v>0</v>
      </c>
      <c r="B1196" s="1" t="s">
        <v>15</v>
      </c>
      <c r="C1196" s="1">
        <v>68</v>
      </c>
      <c r="D1196" s="1">
        <v>2</v>
      </c>
    </row>
    <row r="1197" spans="1:4" x14ac:dyDescent="0.25">
      <c r="A1197" s="1">
        <f t="shared" si="23"/>
        <v>0</v>
      </c>
      <c r="B1197" s="1" t="s">
        <v>37</v>
      </c>
      <c r="C1197" s="1">
        <v>54.8</v>
      </c>
      <c r="D1197" s="1">
        <v>1</v>
      </c>
    </row>
    <row r="1198" spans="1:4" x14ac:dyDescent="0.25">
      <c r="A1198" s="1">
        <f t="shared" si="23"/>
        <v>0</v>
      </c>
      <c r="B1198" s="1" t="s">
        <v>16</v>
      </c>
      <c r="C1198" s="1">
        <v>70.400000000000006</v>
      </c>
      <c r="D1198" s="1">
        <v>2</v>
      </c>
    </row>
    <row r="1199" spans="1:4" x14ac:dyDescent="0.25">
      <c r="A1199" s="1">
        <f t="shared" si="23"/>
        <v>0</v>
      </c>
      <c r="B1199" s="1" t="s">
        <v>41</v>
      </c>
      <c r="C1199" s="1">
        <v>28.75</v>
      </c>
      <c r="D1199" s="1">
        <v>1</v>
      </c>
    </row>
    <row r="1200" spans="1:4" x14ac:dyDescent="0.25">
      <c r="A1200" s="1">
        <f t="shared" si="23"/>
        <v>0</v>
      </c>
      <c r="B1200" s="1" t="s">
        <v>33</v>
      </c>
      <c r="C1200" s="1">
        <v>40</v>
      </c>
      <c r="D1200" s="1">
        <v>1</v>
      </c>
    </row>
    <row r="1201" spans="1:4" x14ac:dyDescent="0.25">
      <c r="A1201" s="1">
        <f t="shared" si="23"/>
        <v>0</v>
      </c>
      <c r="B1201" s="1" t="s">
        <v>30</v>
      </c>
      <c r="C1201" s="1">
        <v>15.99</v>
      </c>
      <c r="D1201" s="1">
        <v>1</v>
      </c>
    </row>
    <row r="1202" spans="1:4" x14ac:dyDescent="0.25">
      <c r="A1202" s="1">
        <f t="shared" si="23"/>
        <v>0</v>
      </c>
      <c r="B1202" s="1" t="s">
        <v>42</v>
      </c>
      <c r="C1202" s="1">
        <v>40</v>
      </c>
      <c r="D1202" s="1">
        <v>1</v>
      </c>
    </row>
    <row r="1203" spans="1:4" x14ac:dyDescent="0.25">
      <c r="A1203" s="1">
        <f t="shared" si="23"/>
        <v>0</v>
      </c>
      <c r="B1203" s="1" t="s">
        <v>45</v>
      </c>
      <c r="C1203" s="1">
        <v>28.75</v>
      </c>
      <c r="D1203" s="1">
        <v>1</v>
      </c>
    </row>
    <row r="1204" spans="1:4" x14ac:dyDescent="0.25">
      <c r="A1204" s="1">
        <f t="shared" si="23"/>
        <v>0</v>
      </c>
      <c r="B1204" s="1" t="s">
        <v>39</v>
      </c>
      <c r="C1204" s="1">
        <v>40</v>
      </c>
      <c r="D1204" s="1">
        <v>1</v>
      </c>
    </row>
    <row r="1205" spans="1:4" x14ac:dyDescent="0.25">
      <c r="A1205" s="1">
        <f t="shared" si="23"/>
        <v>1205</v>
      </c>
      <c r="B1205" s="1" t="s">
        <v>114</v>
      </c>
    </row>
    <row r="1206" spans="1:4" x14ac:dyDescent="0.25">
      <c r="A1206" s="1">
        <f t="shared" si="23"/>
        <v>0</v>
      </c>
      <c r="B1206" s="1" t="s">
        <v>1</v>
      </c>
      <c r="C1206" s="1">
        <v>40</v>
      </c>
    </row>
    <row r="1207" spans="1:4" x14ac:dyDescent="0.25">
      <c r="A1207" s="1">
        <f t="shared" si="23"/>
        <v>0</v>
      </c>
      <c r="B1207" s="1" t="s">
        <v>2</v>
      </c>
      <c r="C1207" s="1">
        <v>1636.1</v>
      </c>
    </row>
    <row r="1208" spans="1:4" x14ac:dyDescent="0.25">
      <c r="A1208" s="1">
        <f t="shared" si="23"/>
        <v>0</v>
      </c>
      <c r="B1208" s="1" t="s">
        <v>3</v>
      </c>
      <c r="C1208" s="1" t="s">
        <v>4</v>
      </c>
      <c r="D1208" s="1" t="s">
        <v>5</v>
      </c>
    </row>
    <row r="1209" spans="1:4" x14ac:dyDescent="0.25">
      <c r="A1209" s="1">
        <f t="shared" si="23"/>
        <v>0</v>
      </c>
      <c r="B1209" s="1" t="s">
        <v>20</v>
      </c>
      <c r="C1209" s="1">
        <v>115.2</v>
      </c>
      <c r="D1209" s="1">
        <v>4</v>
      </c>
    </row>
    <row r="1210" spans="1:4" x14ac:dyDescent="0.25">
      <c r="A1210" s="1">
        <f t="shared" si="23"/>
        <v>0</v>
      </c>
      <c r="B1210" s="1" t="s">
        <v>21</v>
      </c>
      <c r="C1210" s="1">
        <v>109.6</v>
      </c>
      <c r="D1210" s="1">
        <v>2</v>
      </c>
    </row>
    <row r="1211" spans="1:4" x14ac:dyDescent="0.25">
      <c r="A1211" s="1">
        <f t="shared" si="23"/>
        <v>0</v>
      </c>
      <c r="B1211" s="1" t="s">
        <v>19</v>
      </c>
      <c r="C1211" s="1">
        <v>28.75</v>
      </c>
      <c r="D1211" s="1">
        <v>1</v>
      </c>
    </row>
    <row r="1212" spans="1:4" x14ac:dyDescent="0.25">
      <c r="A1212" s="1">
        <f t="shared" si="23"/>
        <v>0</v>
      </c>
      <c r="B1212" s="1" t="s">
        <v>28</v>
      </c>
      <c r="C1212" s="1">
        <v>38.4</v>
      </c>
      <c r="D1212" s="1">
        <v>1</v>
      </c>
    </row>
    <row r="1213" spans="1:4" x14ac:dyDescent="0.25">
      <c r="A1213" s="1">
        <f t="shared" si="23"/>
        <v>0</v>
      </c>
      <c r="B1213" s="1" t="s">
        <v>9</v>
      </c>
      <c r="C1213" s="1">
        <v>54.8</v>
      </c>
      <c r="D1213" s="1">
        <v>1</v>
      </c>
    </row>
    <row r="1214" spans="1:4" x14ac:dyDescent="0.25">
      <c r="A1214" s="1">
        <f t="shared" si="23"/>
        <v>0</v>
      </c>
      <c r="B1214" s="1" t="s">
        <v>17</v>
      </c>
      <c r="C1214" s="1">
        <v>307.2</v>
      </c>
      <c r="D1214" s="1">
        <v>8</v>
      </c>
    </row>
    <row r="1215" spans="1:4" x14ac:dyDescent="0.25">
      <c r="A1215" s="1">
        <f t="shared" si="23"/>
        <v>0</v>
      </c>
      <c r="B1215" s="1" t="s">
        <v>15</v>
      </c>
      <c r="C1215" s="1">
        <v>68</v>
      </c>
      <c r="D1215" s="1">
        <v>1</v>
      </c>
    </row>
    <row r="1216" spans="1:4" x14ac:dyDescent="0.25">
      <c r="A1216" s="1">
        <f t="shared" si="23"/>
        <v>0</v>
      </c>
      <c r="B1216" s="1" t="s">
        <v>16</v>
      </c>
      <c r="C1216" s="1">
        <v>105.6</v>
      </c>
      <c r="D1216" s="1">
        <v>3</v>
      </c>
    </row>
    <row r="1217" spans="1:4" x14ac:dyDescent="0.25">
      <c r="A1217" s="1">
        <f t="shared" si="23"/>
        <v>0</v>
      </c>
      <c r="B1217" s="1" t="s">
        <v>51</v>
      </c>
      <c r="C1217" s="1">
        <v>38.4</v>
      </c>
      <c r="D1217" s="1">
        <v>1</v>
      </c>
    </row>
    <row r="1218" spans="1:4" x14ac:dyDescent="0.25">
      <c r="A1218" s="1">
        <f t="shared" ref="A1218:A1281" si="24">IF(COUNTIF($V$3:$Y$99, $B1218)&lt;&gt;0, ROW($B1218), 0)</f>
        <v>0</v>
      </c>
      <c r="B1218" s="1" t="s">
        <v>52</v>
      </c>
      <c r="C1218" s="1">
        <v>128</v>
      </c>
      <c r="D1218" s="1">
        <v>2</v>
      </c>
    </row>
    <row r="1219" spans="1:4" x14ac:dyDescent="0.25">
      <c r="A1219" s="1">
        <f t="shared" si="24"/>
        <v>0</v>
      </c>
      <c r="B1219" s="1" t="s">
        <v>49</v>
      </c>
      <c r="C1219" s="1">
        <v>200</v>
      </c>
      <c r="D1219" s="1">
        <v>5</v>
      </c>
    </row>
    <row r="1220" spans="1:4" x14ac:dyDescent="0.25">
      <c r="A1220" s="1">
        <f t="shared" si="24"/>
        <v>0</v>
      </c>
      <c r="B1220" s="1" t="s">
        <v>6</v>
      </c>
      <c r="C1220" s="1">
        <v>54.8</v>
      </c>
      <c r="D1220" s="1">
        <v>1</v>
      </c>
    </row>
    <row r="1221" spans="1:4" x14ac:dyDescent="0.25">
      <c r="A1221" s="1">
        <f t="shared" si="24"/>
        <v>0</v>
      </c>
      <c r="B1221" s="1" t="s">
        <v>18</v>
      </c>
      <c r="C1221" s="1">
        <v>115.2</v>
      </c>
      <c r="D1221" s="1">
        <v>3</v>
      </c>
    </row>
    <row r="1222" spans="1:4" x14ac:dyDescent="0.25">
      <c r="A1222" s="1">
        <f t="shared" si="24"/>
        <v>0</v>
      </c>
      <c r="B1222" s="1" t="s">
        <v>56</v>
      </c>
      <c r="C1222" s="1">
        <v>76.8</v>
      </c>
      <c r="D1222" s="1">
        <v>2</v>
      </c>
    </row>
    <row r="1223" spans="1:4" x14ac:dyDescent="0.25">
      <c r="A1223" s="1">
        <f t="shared" si="24"/>
        <v>0</v>
      </c>
      <c r="B1223" s="1" t="s">
        <v>8</v>
      </c>
      <c r="C1223" s="1">
        <v>54.8</v>
      </c>
      <c r="D1223" s="1">
        <v>1</v>
      </c>
    </row>
    <row r="1224" spans="1:4" x14ac:dyDescent="0.25">
      <c r="A1224" s="1">
        <f t="shared" si="24"/>
        <v>0</v>
      </c>
      <c r="B1224" s="1" t="s">
        <v>55</v>
      </c>
      <c r="C1224" s="1">
        <v>38.4</v>
      </c>
      <c r="D1224" s="1">
        <v>1</v>
      </c>
    </row>
    <row r="1225" spans="1:4" x14ac:dyDescent="0.25">
      <c r="A1225" s="1">
        <f t="shared" si="24"/>
        <v>0</v>
      </c>
      <c r="B1225" s="1" t="s">
        <v>12</v>
      </c>
      <c r="C1225" s="1">
        <v>35</v>
      </c>
      <c r="D1225" s="1">
        <v>1</v>
      </c>
    </row>
    <row r="1226" spans="1:4" x14ac:dyDescent="0.25">
      <c r="A1226" s="1">
        <f t="shared" si="24"/>
        <v>0</v>
      </c>
      <c r="B1226" s="1" t="s">
        <v>44</v>
      </c>
      <c r="C1226" s="1">
        <v>38.4</v>
      </c>
      <c r="D1226" s="1">
        <v>1</v>
      </c>
    </row>
    <row r="1227" spans="1:4" x14ac:dyDescent="0.25">
      <c r="A1227" s="1">
        <f t="shared" si="24"/>
        <v>0</v>
      </c>
      <c r="B1227" s="1" t="s">
        <v>45</v>
      </c>
      <c r="C1227" s="1">
        <v>28.75</v>
      </c>
      <c r="D1227" s="1">
        <v>1</v>
      </c>
    </row>
    <row r="1228" spans="1:4" x14ac:dyDescent="0.25">
      <c r="A1228" s="1">
        <f t="shared" si="24"/>
        <v>1228</v>
      </c>
      <c r="B1228" s="1" t="s">
        <v>115</v>
      </c>
    </row>
    <row r="1229" spans="1:4" x14ac:dyDescent="0.25">
      <c r="A1229" s="1">
        <f t="shared" si="24"/>
        <v>0</v>
      </c>
      <c r="B1229" s="1" t="s">
        <v>1</v>
      </c>
      <c r="C1229" s="1">
        <v>106</v>
      </c>
    </row>
    <row r="1230" spans="1:4" x14ac:dyDescent="0.25">
      <c r="A1230" s="1">
        <f t="shared" si="24"/>
        <v>0</v>
      </c>
      <c r="B1230" s="1" t="s">
        <v>2</v>
      </c>
      <c r="C1230" s="1">
        <v>4250.84</v>
      </c>
    </row>
    <row r="1231" spans="1:4" x14ac:dyDescent="0.25">
      <c r="A1231" s="1">
        <f t="shared" si="24"/>
        <v>0</v>
      </c>
      <c r="B1231" s="1" t="s">
        <v>3</v>
      </c>
      <c r="C1231" s="1" t="s">
        <v>4</v>
      </c>
      <c r="D1231" s="1" t="s">
        <v>5</v>
      </c>
    </row>
    <row r="1232" spans="1:4" x14ac:dyDescent="0.25">
      <c r="A1232" s="1">
        <f t="shared" si="24"/>
        <v>0</v>
      </c>
      <c r="B1232" s="1" t="s">
        <v>17</v>
      </c>
      <c r="C1232" s="1">
        <v>537.6</v>
      </c>
      <c r="D1232" s="1">
        <v>15</v>
      </c>
    </row>
    <row r="1233" spans="1:4" x14ac:dyDescent="0.25">
      <c r="A1233" s="1">
        <f t="shared" si="24"/>
        <v>0</v>
      </c>
      <c r="B1233" s="1" t="s">
        <v>7</v>
      </c>
      <c r="C1233" s="1">
        <v>219.2</v>
      </c>
      <c r="D1233" s="1">
        <v>4</v>
      </c>
    </row>
    <row r="1234" spans="1:4" x14ac:dyDescent="0.25">
      <c r="A1234" s="1">
        <f t="shared" si="24"/>
        <v>0</v>
      </c>
      <c r="B1234" s="1" t="s">
        <v>20</v>
      </c>
      <c r="C1234" s="1">
        <v>768</v>
      </c>
      <c r="D1234" s="1">
        <v>20</v>
      </c>
    </row>
    <row r="1235" spans="1:4" x14ac:dyDescent="0.25">
      <c r="A1235" s="1">
        <f t="shared" si="24"/>
        <v>0</v>
      </c>
      <c r="B1235" s="1" t="s">
        <v>18</v>
      </c>
      <c r="C1235" s="1">
        <v>230.4</v>
      </c>
      <c r="D1235" s="1">
        <v>6</v>
      </c>
    </row>
    <row r="1236" spans="1:4" x14ac:dyDescent="0.25">
      <c r="A1236" s="1">
        <f t="shared" si="24"/>
        <v>0</v>
      </c>
      <c r="B1236" s="1" t="s">
        <v>21</v>
      </c>
      <c r="C1236" s="1">
        <v>219.2</v>
      </c>
      <c r="D1236" s="1">
        <v>5</v>
      </c>
    </row>
    <row r="1237" spans="1:4" x14ac:dyDescent="0.25">
      <c r="A1237" s="1">
        <f t="shared" si="24"/>
        <v>0</v>
      </c>
      <c r="B1237" s="1" t="s">
        <v>19</v>
      </c>
      <c r="C1237" s="1">
        <v>57.5</v>
      </c>
      <c r="D1237" s="1">
        <v>2</v>
      </c>
    </row>
    <row r="1238" spans="1:4" x14ac:dyDescent="0.25">
      <c r="A1238" s="1">
        <f t="shared" si="24"/>
        <v>0</v>
      </c>
      <c r="B1238" s="1" t="s">
        <v>6</v>
      </c>
      <c r="C1238" s="1">
        <v>109.6</v>
      </c>
      <c r="D1238" s="1">
        <v>2</v>
      </c>
    </row>
    <row r="1239" spans="1:4" x14ac:dyDescent="0.25">
      <c r="A1239" s="1">
        <f t="shared" si="24"/>
        <v>0</v>
      </c>
      <c r="B1239" s="1" t="s">
        <v>12</v>
      </c>
      <c r="C1239" s="1">
        <v>315</v>
      </c>
      <c r="D1239" s="1">
        <v>9</v>
      </c>
    </row>
    <row r="1240" spans="1:4" x14ac:dyDescent="0.25">
      <c r="A1240" s="1">
        <f t="shared" si="24"/>
        <v>0</v>
      </c>
      <c r="B1240" s="1" t="s">
        <v>8</v>
      </c>
      <c r="C1240" s="1">
        <v>657.6</v>
      </c>
      <c r="D1240" s="1">
        <v>14</v>
      </c>
    </row>
    <row r="1241" spans="1:4" x14ac:dyDescent="0.25">
      <c r="A1241" s="1">
        <f t="shared" si="24"/>
        <v>0</v>
      </c>
      <c r="B1241" s="1" t="s">
        <v>40</v>
      </c>
      <c r="C1241" s="1">
        <v>219.2</v>
      </c>
      <c r="D1241" s="1">
        <v>4</v>
      </c>
    </row>
    <row r="1242" spans="1:4" x14ac:dyDescent="0.25">
      <c r="A1242" s="1">
        <f t="shared" si="24"/>
        <v>0</v>
      </c>
      <c r="B1242" s="1" t="s">
        <v>62</v>
      </c>
      <c r="C1242" s="1">
        <v>76.8</v>
      </c>
      <c r="D1242" s="1">
        <v>2</v>
      </c>
    </row>
    <row r="1243" spans="1:4" x14ac:dyDescent="0.25">
      <c r="A1243" s="1">
        <f t="shared" si="24"/>
        <v>0</v>
      </c>
      <c r="B1243" s="1" t="s">
        <v>15</v>
      </c>
      <c r="C1243" s="1">
        <v>68</v>
      </c>
      <c r="D1243" s="1">
        <v>1</v>
      </c>
    </row>
    <row r="1244" spans="1:4" x14ac:dyDescent="0.25">
      <c r="A1244" s="1">
        <f t="shared" si="24"/>
        <v>0</v>
      </c>
      <c r="B1244" s="1" t="s">
        <v>71</v>
      </c>
      <c r="C1244" s="1">
        <v>40</v>
      </c>
      <c r="D1244" s="1">
        <v>1</v>
      </c>
    </row>
    <row r="1245" spans="1:4" x14ac:dyDescent="0.25">
      <c r="A1245" s="1">
        <f t="shared" si="24"/>
        <v>0</v>
      </c>
      <c r="B1245" s="1" t="s">
        <v>16</v>
      </c>
      <c r="C1245" s="1">
        <v>70.400000000000006</v>
      </c>
      <c r="D1245" s="1">
        <v>2</v>
      </c>
    </row>
    <row r="1246" spans="1:4" x14ac:dyDescent="0.25">
      <c r="A1246" s="1">
        <f t="shared" si="24"/>
        <v>0</v>
      </c>
      <c r="B1246" s="1" t="s">
        <v>27</v>
      </c>
      <c r="C1246" s="1">
        <v>153.6</v>
      </c>
      <c r="D1246" s="1">
        <v>4</v>
      </c>
    </row>
    <row r="1247" spans="1:4" x14ac:dyDescent="0.25">
      <c r="A1247" s="1">
        <f t="shared" si="24"/>
        <v>0</v>
      </c>
      <c r="B1247" s="1" t="s">
        <v>10</v>
      </c>
      <c r="C1247" s="1">
        <v>38.4</v>
      </c>
      <c r="D1247" s="1">
        <v>1</v>
      </c>
    </row>
    <row r="1248" spans="1:4" x14ac:dyDescent="0.25">
      <c r="A1248" s="1">
        <f t="shared" si="24"/>
        <v>0</v>
      </c>
      <c r="B1248" s="1" t="s">
        <v>49</v>
      </c>
      <c r="C1248" s="1">
        <v>80</v>
      </c>
      <c r="D1248" s="1">
        <v>2</v>
      </c>
    </row>
    <row r="1249" spans="1:4" x14ac:dyDescent="0.25">
      <c r="A1249" s="1">
        <f t="shared" si="24"/>
        <v>0</v>
      </c>
      <c r="B1249" s="1" t="s">
        <v>13</v>
      </c>
      <c r="C1249" s="1">
        <v>38.4</v>
      </c>
      <c r="D1249" s="1">
        <v>1</v>
      </c>
    </row>
    <row r="1250" spans="1:4" x14ac:dyDescent="0.25">
      <c r="A1250" s="1">
        <f t="shared" si="24"/>
        <v>0</v>
      </c>
      <c r="B1250" s="1" t="s">
        <v>51</v>
      </c>
      <c r="C1250" s="1">
        <v>38.4</v>
      </c>
      <c r="D1250" s="1">
        <v>1</v>
      </c>
    </row>
    <row r="1251" spans="1:4" x14ac:dyDescent="0.25">
      <c r="A1251" s="1">
        <f t="shared" si="24"/>
        <v>0</v>
      </c>
      <c r="B1251" s="1" t="s">
        <v>54</v>
      </c>
      <c r="C1251" s="1">
        <v>38.4</v>
      </c>
      <c r="D1251" s="1">
        <v>2</v>
      </c>
    </row>
    <row r="1252" spans="1:4" x14ac:dyDescent="0.25">
      <c r="A1252" s="1">
        <f t="shared" si="24"/>
        <v>0</v>
      </c>
      <c r="B1252" s="1" t="s">
        <v>56</v>
      </c>
      <c r="C1252" s="1">
        <v>38.4</v>
      </c>
      <c r="D1252" s="1">
        <v>1</v>
      </c>
    </row>
    <row r="1253" spans="1:4" x14ac:dyDescent="0.25">
      <c r="A1253" s="1">
        <f t="shared" si="24"/>
        <v>0</v>
      </c>
      <c r="B1253" s="1" t="s">
        <v>55</v>
      </c>
      <c r="C1253" s="1">
        <v>38.4</v>
      </c>
      <c r="D1253" s="1">
        <v>1</v>
      </c>
    </row>
    <row r="1254" spans="1:4" x14ac:dyDescent="0.25">
      <c r="A1254" s="1">
        <f t="shared" si="24"/>
        <v>0</v>
      </c>
      <c r="B1254" s="1" t="s">
        <v>30</v>
      </c>
      <c r="C1254" s="1">
        <v>15.99</v>
      </c>
      <c r="D1254" s="1">
        <v>1</v>
      </c>
    </row>
    <row r="1255" spans="1:4" x14ac:dyDescent="0.25">
      <c r="A1255" s="1">
        <f t="shared" si="24"/>
        <v>0</v>
      </c>
      <c r="B1255" s="1" t="s">
        <v>44</v>
      </c>
      <c r="C1255" s="1">
        <v>153.6</v>
      </c>
      <c r="D1255" s="1">
        <v>4</v>
      </c>
    </row>
    <row r="1256" spans="1:4" x14ac:dyDescent="0.25">
      <c r="A1256" s="1">
        <f t="shared" si="24"/>
        <v>0</v>
      </c>
      <c r="B1256" s="1" t="s">
        <v>41</v>
      </c>
      <c r="C1256" s="1">
        <v>28.75</v>
      </c>
      <c r="D1256" s="1">
        <v>1</v>
      </c>
    </row>
    <row r="1257" spans="1:4" x14ac:dyDescent="0.25">
      <c r="A1257" s="1">
        <f t="shared" si="24"/>
        <v>1257</v>
      </c>
      <c r="B1257" s="1" t="s">
        <v>116</v>
      </c>
    </row>
    <row r="1258" spans="1:4" x14ac:dyDescent="0.25">
      <c r="A1258" s="1">
        <f t="shared" si="24"/>
        <v>0</v>
      </c>
      <c r="B1258" s="1" t="s">
        <v>1</v>
      </c>
      <c r="C1258" s="1">
        <v>28</v>
      </c>
    </row>
    <row r="1259" spans="1:4" x14ac:dyDescent="0.25">
      <c r="A1259" s="1">
        <f t="shared" si="24"/>
        <v>0</v>
      </c>
      <c r="B1259" s="1" t="s">
        <v>2</v>
      </c>
      <c r="C1259" s="1">
        <v>1212.6500000000001</v>
      </c>
    </row>
    <row r="1260" spans="1:4" x14ac:dyDescent="0.25">
      <c r="A1260" s="1">
        <f t="shared" si="24"/>
        <v>0</v>
      </c>
      <c r="B1260" s="1" t="s">
        <v>3</v>
      </c>
      <c r="C1260" s="1" t="s">
        <v>4</v>
      </c>
      <c r="D1260" s="1" t="s">
        <v>5</v>
      </c>
    </row>
    <row r="1261" spans="1:4" x14ac:dyDescent="0.25">
      <c r="A1261" s="1">
        <f t="shared" si="24"/>
        <v>0</v>
      </c>
      <c r="B1261" s="1" t="s">
        <v>12</v>
      </c>
      <c r="C1261" s="1">
        <v>70</v>
      </c>
      <c r="D1261" s="1">
        <v>2</v>
      </c>
    </row>
    <row r="1262" spans="1:4" x14ac:dyDescent="0.25">
      <c r="A1262" s="1">
        <f t="shared" si="24"/>
        <v>0</v>
      </c>
      <c r="B1262" s="1" t="s">
        <v>61</v>
      </c>
      <c r="C1262" s="1">
        <v>64</v>
      </c>
      <c r="D1262" s="1">
        <v>1</v>
      </c>
    </row>
    <row r="1263" spans="1:4" x14ac:dyDescent="0.25">
      <c r="A1263" s="1">
        <f t="shared" si="24"/>
        <v>0</v>
      </c>
      <c r="B1263" s="1" t="s">
        <v>18</v>
      </c>
      <c r="C1263" s="1">
        <v>76.8</v>
      </c>
      <c r="D1263" s="1">
        <v>2</v>
      </c>
    </row>
    <row r="1264" spans="1:4" x14ac:dyDescent="0.25">
      <c r="A1264" s="1">
        <f t="shared" si="24"/>
        <v>0</v>
      </c>
      <c r="B1264" s="1" t="s">
        <v>8</v>
      </c>
      <c r="C1264" s="1">
        <v>164.4</v>
      </c>
      <c r="D1264" s="1">
        <v>3</v>
      </c>
    </row>
    <row r="1265" spans="1:4" x14ac:dyDescent="0.25">
      <c r="A1265" s="1">
        <f t="shared" si="24"/>
        <v>0</v>
      </c>
      <c r="B1265" s="1" t="s">
        <v>17</v>
      </c>
      <c r="C1265" s="1">
        <v>76.8</v>
      </c>
      <c r="D1265" s="1">
        <v>2</v>
      </c>
    </row>
    <row r="1266" spans="1:4" x14ac:dyDescent="0.25">
      <c r="A1266" s="1">
        <f t="shared" si="24"/>
        <v>0</v>
      </c>
      <c r="B1266" s="1" t="s">
        <v>7</v>
      </c>
      <c r="C1266" s="1">
        <v>54.8</v>
      </c>
      <c r="D1266" s="1">
        <v>1</v>
      </c>
    </row>
    <row r="1267" spans="1:4" x14ac:dyDescent="0.25">
      <c r="A1267" s="1">
        <f t="shared" si="24"/>
        <v>0</v>
      </c>
      <c r="B1267" s="1" t="s">
        <v>20</v>
      </c>
      <c r="C1267" s="1">
        <v>115.2</v>
      </c>
      <c r="D1267" s="1">
        <v>3</v>
      </c>
    </row>
    <row r="1268" spans="1:4" x14ac:dyDescent="0.25">
      <c r="A1268" s="1">
        <f t="shared" si="24"/>
        <v>0</v>
      </c>
      <c r="B1268" s="1" t="s">
        <v>21</v>
      </c>
      <c r="C1268" s="1">
        <v>219.2</v>
      </c>
      <c r="D1268" s="1">
        <v>4</v>
      </c>
    </row>
    <row r="1269" spans="1:4" x14ac:dyDescent="0.25">
      <c r="A1269" s="1">
        <f t="shared" si="24"/>
        <v>0</v>
      </c>
      <c r="B1269" s="1" t="s">
        <v>57</v>
      </c>
      <c r="C1269" s="1">
        <v>40</v>
      </c>
      <c r="D1269" s="1">
        <v>1</v>
      </c>
    </row>
    <row r="1270" spans="1:4" x14ac:dyDescent="0.25">
      <c r="A1270" s="1">
        <f t="shared" si="24"/>
        <v>0</v>
      </c>
      <c r="B1270" s="1" t="s">
        <v>49</v>
      </c>
      <c r="C1270" s="1">
        <v>40</v>
      </c>
      <c r="D1270" s="1">
        <v>1</v>
      </c>
    </row>
    <row r="1271" spans="1:4" x14ac:dyDescent="0.25">
      <c r="A1271" s="1">
        <f t="shared" si="24"/>
        <v>0</v>
      </c>
      <c r="B1271" s="1" t="s">
        <v>36</v>
      </c>
      <c r="C1271" s="1">
        <v>38.4</v>
      </c>
      <c r="D1271" s="1">
        <v>1</v>
      </c>
    </row>
    <row r="1272" spans="1:4" x14ac:dyDescent="0.25">
      <c r="A1272" s="1">
        <f t="shared" si="24"/>
        <v>0</v>
      </c>
      <c r="B1272" s="1" t="s">
        <v>13</v>
      </c>
      <c r="C1272" s="1">
        <v>76.8</v>
      </c>
      <c r="D1272" s="1">
        <v>2</v>
      </c>
    </row>
    <row r="1273" spans="1:4" x14ac:dyDescent="0.25">
      <c r="A1273" s="1">
        <f t="shared" si="24"/>
        <v>0</v>
      </c>
      <c r="B1273" s="1" t="s">
        <v>16</v>
      </c>
      <c r="C1273" s="1">
        <v>35.200000000000003</v>
      </c>
      <c r="D1273" s="1">
        <v>1</v>
      </c>
    </row>
    <row r="1274" spans="1:4" x14ac:dyDescent="0.25">
      <c r="A1274" s="1">
        <f t="shared" si="24"/>
        <v>0</v>
      </c>
      <c r="B1274" s="1" t="s">
        <v>45</v>
      </c>
      <c r="C1274" s="1">
        <v>28.75</v>
      </c>
      <c r="D1274" s="1">
        <v>1</v>
      </c>
    </row>
    <row r="1275" spans="1:4" x14ac:dyDescent="0.25">
      <c r="A1275" s="1">
        <f t="shared" si="24"/>
        <v>0</v>
      </c>
      <c r="B1275" s="1" t="s">
        <v>41</v>
      </c>
      <c r="C1275" s="1">
        <v>57.5</v>
      </c>
      <c r="D1275" s="1">
        <v>2</v>
      </c>
    </row>
    <row r="1276" spans="1:4" x14ac:dyDescent="0.25">
      <c r="A1276" s="1">
        <f t="shared" si="24"/>
        <v>0</v>
      </c>
      <c r="B1276" s="1" t="s">
        <v>40</v>
      </c>
      <c r="C1276" s="1">
        <v>54.8</v>
      </c>
      <c r="D1276" s="1">
        <v>1</v>
      </c>
    </row>
    <row r="1277" spans="1:4" x14ac:dyDescent="0.25">
      <c r="A1277" s="1">
        <f t="shared" si="24"/>
        <v>1277</v>
      </c>
      <c r="B1277" s="1" t="s">
        <v>117</v>
      </c>
    </row>
    <row r="1278" spans="1:4" x14ac:dyDescent="0.25">
      <c r="A1278" s="1">
        <f t="shared" si="24"/>
        <v>0</v>
      </c>
      <c r="B1278" s="1" t="s">
        <v>1</v>
      </c>
      <c r="C1278" s="1">
        <v>125</v>
      </c>
    </row>
    <row r="1279" spans="1:4" x14ac:dyDescent="0.25">
      <c r="A1279" s="1">
        <f t="shared" si="24"/>
        <v>0</v>
      </c>
      <c r="B1279" s="1" t="s">
        <v>2</v>
      </c>
      <c r="C1279" s="1">
        <v>5050.88</v>
      </c>
    </row>
    <row r="1280" spans="1:4" x14ac:dyDescent="0.25">
      <c r="A1280" s="1">
        <f t="shared" si="24"/>
        <v>0</v>
      </c>
      <c r="B1280" s="1" t="s">
        <v>3</v>
      </c>
      <c r="C1280" s="1" t="s">
        <v>4</v>
      </c>
      <c r="D1280" s="1" t="s">
        <v>5</v>
      </c>
    </row>
    <row r="1281" spans="1:4" x14ac:dyDescent="0.25">
      <c r="A1281" s="1">
        <f t="shared" si="24"/>
        <v>0</v>
      </c>
      <c r="B1281" s="1" t="s">
        <v>16</v>
      </c>
      <c r="C1281" s="1">
        <v>105.6</v>
      </c>
      <c r="D1281" s="1">
        <v>3</v>
      </c>
    </row>
    <row r="1282" spans="1:4" x14ac:dyDescent="0.25">
      <c r="A1282" s="1">
        <f t="shared" ref="A1282:A1345" si="25">IF(COUNTIF($V$3:$Y$99, $B1282)&lt;&gt;0, ROW($B1282), 0)</f>
        <v>0</v>
      </c>
      <c r="B1282" s="1" t="s">
        <v>17</v>
      </c>
      <c r="C1282" s="1">
        <v>499.2</v>
      </c>
      <c r="D1282" s="1">
        <v>13</v>
      </c>
    </row>
    <row r="1283" spans="1:4" x14ac:dyDescent="0.25">
      <c r="A1283" s="1">
        <f t="shared" si="25"/>
        <v>0</v>
      </c>
      <c r="B1283" s="1" t="s">
        <v>40</v>
      </c>
      <c r="C1283" s="1">
        <v>328.8</v>
      </c>
      <c r="D1283" s="1">
        <v>6</v>
      </c>
    </row>
    <row r="1284" spans="1:4" x14ac:dyDescent="0.25">
      <c r="A1284" s="1">
        <f t="shared" si="25"/>
        <v>0</v>
      </c>
      <c r="B1284" s="1" t="s">
        <v>21</v>
      </c>
      <c r="C1284" s="1">
        <v>274</v>
      </c>
      <c r="D1284" s="1">
        <v>5</v>
      </c>
    </row>
    <row r="1285" spans="1:4" x14ac:dyDescent="0.25">
      <c r="A1285" s="1">
        <f t="shared" si="25"/>
        <v>0</v>
      </c>
      <c r="B1285" s="1" t="s">
        <v>12</v>
      </c>
      <c r="C1285" s="1">
        <v>385</v>
      </c>
      <c r="D1285" s="1">
        <v>12</v>
      </c>
    </row>
    <row r="1286" spans="1:4" x14ac:dyDescent="0.25">
      <c r="A1286" s="1">
        <f t="shared" si="25"/>
        <v>0</v>
      </c>
      <c r="B1286" s="1" t="s">
        <v>9</v>
      </c>
      <c r="C1286" s="1">
        <v>328.8</v>
      </c>
      <c r="D1286" s="1">
        <v>6</v>
      </c>
    </row>
    <row r="1287" spans="1:4" x14ac:dyDescent="0.25">
      <c r="A1287" s="1">
        <f t="shared" si="25"/>
        <v>0</v>
      </c>
      <c r="B1287" s="1" t="s">
        <v>51</v>
      </c>
      <c r="C1287" s="1">
        <v>76.8</v>
      </c>
      <c r="D1287" s="1">
        <v>3</v>
      </c>
    </row>
    <row r="1288" spans="1:4" x14ac:dyDescent="0.25">
      <c r="A1288" s="1">
        <f t="shared" si="25"/>
        <v>0</v>
      </c>
      <c r="B1288" s="1" t="s">
        <v>52</v>
      </c>
      <c r="C1288" s="1">
        <v>64</v>
      </c>
      <c r="D1288" s="1">
        <v>1</v>
      </c>
    </row>
    <row r="1289" spans="1:4" x14ac:dyDescent="0.25">
      <c r="A1289" s="1">
        <f t="shared" si="25"/>
        <v>0</v>
      </c>
      <c r="B1289" s="1" t="s">
        <v>14</v>
      </c>
      <c r="C1289" s="1">
        <v>86.25</v>
      </c>
      <c r="D1289" s="1">
        <v>3</v>
      </c>
    </row>
    <row r="1290" spans="1:4" x14ac:dyDescent="0.25">
      <c r="A1290" s="1">
        <f t="shared" si="25"/>
        <v>0</v>
      </c>
      <c r="B1290" s="1" t="s">
        <v>18</v>
      </c>
      <c r="C1290" s="1">
        <v>268.8</v>
      </c>
      <c r="D1290" s="1">
        <v>7</v>
      </c>
    </row>
    <row r="1291" spans="1:4" x14ac:dyDescent="0.25">
      <c r="A1291" s="1">
        <f t="shared" si="25"/>
        <v>0</v>
      </c>
      <c r="B1291" s="1" t="s">
        <v>20</v>
      </c>
      <c r="C1291" s="1">
        <v>268.8</v>
      </c>
      <c r="D1291" s="1">
        <v>7</v>
      </c>
    </row>
    <row r="1292" spans="1:4" x14ac:dyDescent="0.25">
      <c r="A1292" s="1">
        <f t="shared" si="25"/>
        <v>0</v>
      </c>
      <c r="B1292" s="1" t="s">
        <v>35</v>
      </c>
      <c r="C1292" s="1">
        <v>38.4</v>
      </c>
      <c r="D1292" s="1">
        <v>1</v>
      </c>
    </row>
    <row r="1293" spans="1:4" x14ac:dyDescent="0.25">
      <c r="A1293" s="1">
        <f t="shared" si="25"/>
        <v>0</v>
      </c>
      <c r="B1293" s="1" t="s">
        <v>19</v>
      </c>
      <c r="C1293" s="1">
        <v>28.75</v>
      </c>
      <c r="D1293" s="1">
        <v>1</v>
      </c>
    </row>
    <row r="1294" spans="1:4" x14ac:dyDescent="0.25">
      <c r="A1294" s="1">
        <f t="shared" si="25"/>
        <v>0</v>
      </c>
      <c r="B1294" s="1" t="s">
        <v>49</v>
      </c>
      <c r="C1294" s="1">
        <v>120</v>
      </c>
      <c r="D1294" s="1">
        <v>3</v>
      </c>
    </row>
    <row r="1295" spans="1:4" x14ac:dyDescent="0.25">
      <c r="A1295" s="1">
        <f t="shared" si="25"/>
        <v>0</v>
      </c>
      <c r="B1295" s="1" t="s">
        <v>13</v>
      </c>
      <c r="C1295" s="1">
        <v>76.8</v>
      </c>
      <c r="D1295" s="1">
        <v>2</v>
      </c>
    </row>
    <row r="1296" spans="1:4" x14ac:dyDescent="0.25">
      <c r="A1296" s="1">
        <f t="shared" si="25"/>
        <v>0</v>
      </c>
      <c r="B1296" s="1" t="s">
        <v>8</v>
      </c>
      <c r="C1296" s="1">
        <v>219.2</v>
      </c>
      <c r="D1296" s="1">
        <v>4</v>
      </c>
    </row>
    <row r="1297" spans="1:4" x14ac:dyDescent="0.25">
      <c r="A1297" s="1">
        <f t="shared" si="25"/>
        <v>0</v>
      </c>
      <c r="B1297" s="1" t="s">
        <v>10</v>
      </c>
      <c r="C1297" s="1">
        <v>115.2</v>
      </c>
      <c r="D1297" s="1">
        <v>3</v>
      </c>
    </row>
    <row r="1298" spans="1:4" x14ac:dyDescent="0.25">
      <c r="A1298" s="1">
        <f t="shared" si="25"/>
        <v>0</v>
      </c>
      <c r="B1298" s="1" t="s">
        <v>7</v>
      </c>
      <c r="C1298" s="1">
        <v>274</v>
      </c>
      <c r="D1298" s="1">
        <v>5</v>
      </c>
    </row>
    <row r="1299" spans="1:4" x14ac:dyDescent="0.25">
      <c r="A1299" s="1">
        <f t="shared" si="25"/>
        <v>0</v>
      </c>
      <c r="B1299" s="1" t="s">
        <v>32</v>
      </c>
      <c r="C1299" s="1">
        <v>38.4</v>
      </c>
      <c r="D1299" s="1">
        <v>1</v>
      </c>
    </row>
    <row r="1300" spans="1:4" x14ac:dyDescent="0.25">
      <c r="A1300" s="1">
        <f t="shared" si="25"/>
        <v>0</v>
      </c>
      <c r="B1300" s="1" t="s">
        <v>27</v>
      </c>
      <c r="C1300" s="1">
        <v>192</v>
      </c>
      <c r="D1300" s="1">
        <v>6</v>
      </c>
    </row>
    <row r="1301" spans="1:4" x14ac:dyDescent="0.25">
      <c r="A1301" s="1">
        <f t="shared" si="25"/>
        <v>0</v>
      </c>
      <c r="B1301" s="1" t="s">
        <v>53</v>
      </c>
      <c r="C1301" s="1">
        <v>28.75</v>
      </c>
      <c r="D1301" s="1">
        <v>1</v>
      </c>
    </row>
    <row r="1302" spans="1:4" x14ac:dyDescent="0.25">
      <c r="A1302" s="1">
        <f t="shared" si="25"/>
        <v>0</v>
      </c>
      <c r="B1302" s="1" t="s">
        <v>34</v>
      </c>
      <c r="C1302" s="1">
        <v>64</v>
      </c>
      <c r="D1302" s="1">
        <v>1</v>
      </c>
    </row>
    <row r="1303" spans="1:4" x14ac:dyDescent="0.25">
      <c r="A1303" s="1">
        <f t="shared" si="25"/>
        <v>0</v>
      </c>
      <c r="B1303" s="1" t="s">
        <v>25</v>
      </c>
      <c r="C1303" s="1">
        <v>40</v>
      </c>
      <c r="D1303" s="1">
        <v>1</v>
      </c>
    </row>
    <row r="1304" spans="1:4" x14ac:dyDescent="0.25">
      <c r="A1304" s="1">
        <f t="shared" si="25"/>
        <v>0</v>
      </c>
      <c r="B1304" s="1" t="s">
        <v>6</v>
      </c>
      <c r="C1304" s="1">
        <v>164.4</v>
      </c>
      <c r="D1304" s="1">
        <v>3</v>
      </c>
    </row>
    <row r="1305" spans="1:4" x14ac:dyDescent="0.25">
      <c r="A1305" s="1">
        <f t="shared" si="25"/>
        <v>0</v>
      </c>
      <c r="B1305" s="1" t="s">
        <v>33</v>
      </c>
      <c r="C1305" s="1">
        <v>160</v>
      </c>
      <c r="D1305" s="1">
        <v>4</v>
      </c>
    </row>
    <row r="1306" spans="1:4" x14ac:dyDescent="0.25">
      <c r="A1306" s="1">
        <f t="shared" si="25"/>
        <v>0</v>
      </c>
      <c r="B1306" s="1" t="s">
        <v>65</v>
      </c>
      <c r="C1306" s="1">
        <v>49.95</v>
      </c>
      <c r="D1306" s="1">
        <v>1</v>
      </c>
    </row>
    <row r="1307" spans="1:4" x14ac:dyDescent="0.25">
      <c r="A1307" s="1">
        <f t="shared" si="25"/>
        <v>0</v>
      </c>
      <c r="B1307" s="1" t="s">
        <v>22</v>
      </c>
      <c r="C1307" s="1">
        <v>109.6</v>
      </c>
      <c r="D1307" s="1">
        <v>2</v>
      </c>
    </row>
    <row r="1308" spans="1:4" x14ac:dyDescent="0.25">
      <c r="A1308" s="1">
        <f t="shared" si="25"/>
        <v>0</v>
      </c>
      <c r="B1308" s="1" t="s">
        <v>30</v>
      </c>
      <c r="C1308" s="1">
        <v>31.98</v>
      </c>
      <c r="D1308" s="1">
        <v>2</v>
      </c>
    </row>
    <row r="1309" spans="1:4" x14ac:dyDescent="0.25">
      <c r="A1309" s="1">
        <f t="shared" si="25"/>
        <v>0</v>
      </c>
      <c r="B1309" s="1" t="s">
        <v>55</v>
      </c>
      <c r="C1309" s="1">
        <v>76.8</v>
      </c>
      <c r="D1309" s="1">
        <v>2</v>
      </c>
    </row>
    <row r="1310" spans="1:4" x14ac:dyDescent="0.25">
      <c r="A1310" s="1">
        <f t="shared" si="25"/>
        <v>0</v>
      </c>
      <c r="B1310" s="1" t="s">
        <v>56</v>
      </c>
      <c r="C1310" s="1">
        <v>76.8</v>
      </c>
      <c r="D1310" s="1">
        <v>2</v>
      </c>
    </row>
    <row r="1311" spans="1:4" x14ac:dyDescent="0.25">
      <c r="A1311" s="1">
        <f t="shared" si="25"/>
        <v>0</v>
      </c>
      <c r="B1311" s="1" t="s">
        <v>41</v>
      </c>
      <c r="C1311" s="1">
        <v>86.25</v>
      </c>
      <c r="D1311" s="1">
        <v>3</v>
      </c>
    </row>
    <row r="1312" spans="1:4" x14ac:dyDescent="0.25">
      <c r="A1312" s="1">
        <f t="shared" si="25"/>
        <v>0</v>
      </c>
      <c r="B1312" s="1" t="s">
        <v>67</v>
      </c>
      <c r="C1312" s="1">
        <v>49.95</v>
      </c>
      <c r="D1312" s="1">
        <v>1</v>
      </c>
    </row>
    <row r="1313" spans="1:4" x14ac:dyDescent="0.25">
      <c r="A1313" s="1">
        <f t="shared" si="25"/>
        <v>0</v>
      </c>
      <c r="B1313" s="1" t="s">
        <v>37</v>
      </c>
      <c r="C1313" s="1">
        <v>54.8</v>
      </c>
      <c r="D1313" s="1">
        <v>1</v>
      </c>
    </row>
    <row r="1314" spans="1:4" x14ac:dyDescent="0.25">
      <c r="A1314" s="1">
        <f t="shared" si="25"/>
        <v>0</v>
      </c>
      <c r="B1314" s="1" t="s">
        <v>62</v>
      </c>
      <c r="C1314" s="1">
        <v>192</v>
      </c>
      <c r="D1314" s="1">
        <v>5</v>
      </c>
    </row>
    <row r="1315" spans="1:4" x14ac:dyDescent="0.25">
      <c r="A1315" s="1">
        <f t="shared" si="25"/>
        <v>0</v>
      </c>
      <c r="B1315" s="1" t="s">
        <v>44</v>
      </c>
      <c r="C1315" s="1">
        <v>76.8</v>
      </c>
      <c r="D1315" s="1">
        <v>4</v>
      </c>
    </row>
    <row r="1316" spans="1:4" x14ac:dyDescent="0.25">
      <c r="A1316" s="1">
        <f t="shared" si="25"/>
        <v>1316</v>
      </c>
      <c r="B1316" s="1" t="s">
        <v>118</v>
      </c>
    </row>
    <row r="1317" spans="1:4" x14ac:dyDescent="0.25">
      <c r="A1317" s="1">
        <f t="shared" si="25"/>
        <v>0</v>
      </c>
      <c r="B1317" s="1" t="s">
        <v>1</v>
      </c>
      <c r="C1317" s="1">
        <v>39</v>
      </c>
    </row>
    <row r="1318" spans="1:4" x14ac:dyDescent="0.25">
      <c r="A1318" s="1">
        <f t="shared" si="25"/>
        <v>0</v>
      </c>
      <c r="B1318" s="1" t="s">
        <v>2</v>
      </c>
      <c r="C1318" s="1">
        <v>1558.4</v>
      </c>
    </row>
    <row r="1319" spans="1:4" x14ac:dyDescent="0.25">
      <c r="A1319" s="1">
        <f t="shared" si="25"/>
        <v>0</v>
      </c>
      <c r="B1319" s="1" t="s">
        <v>3</v>
      </c>
      <c r="C1319" s="1" t="s">
        <v>4</v>
      </c>
      <c r="D1319" s="1" t="s">
        <v>5</v>
      </c>
    </row>
    <row r="1320" spans="1:4" x14ac:dyDescent="0.25">
      <c r="A1320" s="1">
        <f t="shared" si="25"/>
        <v>0</v>
      </c>
      <c r="B1320" s="1" t="s">
        <v>8</v>
      </c>
      <c r="C1320" s="1">
        <v>383.6</v>
      </c>
      <c r="D1320" s="1">
        <v>8</v>
      </c>
    </row>
    <row r="1321" spans="1:4" x14ac:dyDescent="0.25">
      <c r="A1321" s="1">
        <f t="shared" si="25"/>
        <v>0</v>
      </c>
      <c r="B1321" s="1" t="s">
        <v>17</v>
      </c>
      <c r="C1321" s="1">
        <v>268.8</v>
      </c>
      <c r="D1321" s="1">
        <v>7</v>
      </c>
    </row>
    <row r="1322" spans="1:4" x14ac:dyDescent="0.25">
      <c r="A1322" s="1">
        <f t="shared" si="25"/>
        <v>0</v>
      </c>
      <c r="B1322" s="1" t="s">
        <v>20</v>
      </c>
      <c r="C1322" s="1">
        <v>345.6</v>
      </c>
      <c r="D1322" s="1">
        <v>11</v>
      </c>
    </row>
    <row r="1323" spans="1:4" x14ac:dyDescent="0.25">
      <c r="A1323" s="1">
        <f t="shared" si="25"/>
        <v>0</v>
      </c>
      <c r="B1323" s="1" t="s">
        <v>7</v>
      </c>
      <c r="C1323" s="1">
        <v>54.8</v>
      </c>
      <c r="D1323" s="1">
        <v>1</v>
      </c>
    </row>
    <row r="1324" spans="1:4" x14ac:dyDescent="0.25">
      <c r="A1324" s="1">
        <f t="shared" si="25"/>
        <v>0</v>
      </c>
      <c r="B1324" s="1" t="s">
        <v>21</v>
      </c>
      <c r="C1324" s="1">
        <v>54.8</v>
      </c>
      <c r="D1324" s="1">
        <v>1</v>
      </c>
    </row>
    <row r="1325" spans="1:4" x14ac:dyDescent="0.25">
      <c r="A1325" s="1">
        <f t="shared" si="25"/>
        <v>0</v>
      </c>
      <c r="B1325" s="1" t="s">
        <v>40</v>
      </c>
      <c r="C1325" s="1">
        <v>54.8</v>
      </c>
      <c r="D1325" s="1">
        <v>1</v>
      </c>
    </row>
    <row r="1326" spans="1:4" x14ac:dyDescent="0.25">
      <c r="A1326" s="1">
        <f t="shared" si="25"/>
        <v>0</v>
      </c>
      <c r="B1326" s="1" t="s">
        <v>18</v>
      </c>
      <c r="C1326" s="1">
        <v>38.4</v>
      </c>
      <c r="D1326" s="1">
        <v>1</v>
      </c>
    </row>
    <row r="1327" spans="1:4" x14ac:dyDescent="0.25">
      <c r="A1327" s="1">
        <f t="shared" si="25"/>
        <v>0</v>
      </c>
      <c r="B1327" s="1" t="s">
        <v>25</v>
      </c>
      <c r="C1327" s="1">
        <v>40</v>
      </c>
      <c r="D1327" s="1">
        <v>1</v>
      </c>
    </row>
    <row r="1328" spans="1:4" x14ac:dyDescent="0.25">
      <c r="A1328" s="1">
        <f t="shared" si="25"/>
        <v>0</v>
      </c>
      <c r="B1328" s="1" t="s">
        <v>12</v>
      </c>
      <c r="C1328" s="1">
        <v>140</v>
      </c>
      <c r="D1328" s="1">
        <v>4</v>
      </c>
    </row>
    <row r="1329" spans="1:4" x14ac:dyDescent="0.25">
      <c r="A1329" s="1">
        <f t="shared" si="25"/>
        <v>0</v>
      </c>
      <c r="B1329" s="1" t="s">
        <v>61</v>
      </c>
      <c r="C1329" s="1">
        <v>64</v>
      </c>
      <c r="D1329" s="1">
        <v>1</v>
      </c>
    </row>
    <row r="1330" spans="1:4" x14ac:dyDescent="0.25">
      <c r="A1330" s="1">
        <f t="shared" si="25"/>
        <v>0</v>
      </c>
      <c r="B1330" s="1" t="s">
        <v>54</v>
      </c>
      <c r="C1330" s="1">
        <v>38.4</v>
      </c>
      <c r="D1330" s="1">
        <v>1</v>
      </c>
    </row>
    <row r="1331" spans="1:4" x14ac:dyDescent="0.25">
      <c r="A1331" s="1">
        <f t="shared" si="25"/>
        <v>0</v>
      </c>
      <c r="B1331" s="1" t="s">
        <v>16</v>
      </c>
      <c r="C1331" s="1">
        <v>35.200000000000003</v>
      </c>
      <c r="D1331" s="1">
        <v>1</v>
      </c>
    </row>
    <row r="1332" spans="1:4" x14ac:dyDescent="0.25">
      <c r="A1332" s="1">
        <f t="shared" si="25"/>
        <v>0</v>
      </c>
      <c r="B1332" s="1" t="s">
        <v>49</v>
      </c>
      <c r="C1332" s="1">
        <v>40</v>
      </c>
      <c r="D1332" s="1">
        <v>1</v>
      </c>
    </row>
    <row r="1333" spans="1:4" x14ac:dyDescent="0.25">
      <c r="A1333" s="1">
        <f t="shared" si="25"/>
        <v>1333</v>
      </c>
      <c r="B1333" s="1" t="s">
        <v>119</v>
      </c>
    </row>
    <row r="1334" spans="1:4" x14ac:dyDescent="0.25">
      <c r="A1334" s="1">
        <f t="shared" si="25"/>
        <v>0</v>
      </c>
      <c r="B1334" s="1" t="s">
        <v>1</v>
      </c>
      <c r="C1334" s="1">
        <v>210</v>
      </c>
    </row>
    <row r="1335" spans="1:4" x14ac:dyDescent="0.25">
      <c r="A1335" s="1">
        <f t="shared" si="25"/>
        <v>0</v>
      </c>
      <c r="B1335" s="1" t="s">
        <v>2</v>
      </c>
      <c r="C1335" s="1">
        <v>8934.48</v>
      </c>
    </row>
    <row r="1336" spans="1:4" x14ac:dyDescent="0.25">
      <c r="A1336" s="1">
        <f t="shared" si="25"/>
        <v>0</v>
      </c>
      <c r="B1336" s="1" t="s">
        <v>3</v>
      </c>
      <c r="C1336" s="1" t="s">
        <v>4</v>
      </c>
      <c r="D1336" s="1" t="s">
        <v>5</v>
      </c>
    </row>
    <row r="1337" spans="1:4" x14ac:dyDescent="0.25">
      <c r="A1337" s="1">
        <f t="shared" si="25"/>
        <v>0</v>
      </c>
      <c r="B1337" s="1" t="s">
        <v>15</v>
      </c>
      <c r="C1337" s="1">
        <v>748</v>
      </c>
      <c r="D1337" s="1">
        <v>12</v>
      </c>
    </row>
    <row r="1338" spans="1:4" x14ac:dyDescent="0.25">
      <c r="A1338" s="1">
        <f t="shared" si="25"/>
        <v>0</v>
      </c>
      <c r="B1338" s="1" t="s">
        <v>21</v>
      </c>
      <c r="C1338" s="1">
        <v>438.4</v>
      </c>
      <c r="D1338" s="1">
        <v>8</v>
      </c>
    </row>
    <row r="1339" spans="1:4" x14ac:dyDescent="0.25">
      <c r="A1339" s="1">
        <f t="shared" si="25"/>
        <v>0</v>
      </c>
      <c r="B1339" s="1" t="s">
        <v>8</v>
      </c>
      <c r="C1339" s="1">
        <v>931.6</v>
      </c>
      <c r="D1339" s="1">
        <v>19</v>
      </c>
    </row>
    <row r="1340" spans="1:4" x14ac:dyDescent="0.25">
      <c r="A1340" s="1">
        <f t="shared" si="25"/>
        <v>0</v>
      </c>
      <c r="B1340" s="1" t="s">
        <v>52</v>
      </c>
      <c r="C1340" s="1">
        <v>192</v>
      </c>
      <c r="D1340" s="1">
        <v>3</v>
      </c>
    </row>
    <row r="1341" spans="1:4" x14ac:dyDescent="0.25">
      <c r="A1341" s="1">
        <f t="shared" si="25"/>
        <v>0</v>
      </c>
      <c r="B1341" s="1" t="s">
        <v>20</v>
      </c>
      <c r="C1341" s="1">
        <v>1228.8</v>
      </c>
      <c r="D1341" s="1">
        <v>32</v>
      </c>
    </row>
    <row r="1342" spans="1:4" x14ac:dyDescent="0.25">
      <c r="A1342" s="1">
        <f t="shared" si="25"/>
        <v>0</v>
      </c>
      <c r="B1342" s="1" t="s">
        <v>33</v>
      </c>
      <c r="C1342" s="1">
        <v>520</v>
      </c>
      <c r="D1342" s="1">
        <v>13</v>
      </c>
    </row>
    <row r="1343" spans="1:4" x14ac:dyDescent="0.25">
      <c r="A1343" s="1">
        <f t="shared" si="25"/>
        <v>0</v>
      </c>
      <c r="B1343" s="1" t="s">
        <v>57</v>
      </c>
      <c r="C1343" s="1">
        <v>40</v>
      </c>
      <c r="D1343" s="1">
        <v>1</v>
      </c>
    </row>
    <row r="1344" spans="1:4" x14ac:dyDescent="0.25">
      <c r="A1344" s="1">
        <f t="shared" si="25"/>
        <v>0</v>
      </c>
      <c r="B1344" s="1" t="s">
        <v>71</v>
      </c>
      <c r="C1344" s="1">
        <v>40</v>
      </c>
      <c r="D1344" s="1">
        <v>1</v>
      </c>
    </row>
    <row r="1345" spans="1:4" x14ac:dyDescent="0.25">
      <c r="A1345" s="1">
        <f t="shared" si="25"/>
        <v>0</v>
      </c>
      <c r="B1345" s="1" t="s">
        <v>18</v>
      </c>
      <c r="C1345" s="1">
        <v>768</v>
      </c>
      <c r="D1345" s="1">
        <v>20</v>
      </c>
    </row>
    <row r="1346" spans="1:4" x14ac:dyDescent="0.25">
      <c r="A1346" s="1">
        <f t="shared" ref="A1346:A1409" si="26">IF(COUNTIF($V$3:$Y$99, $B1346)&lt;&gt;0, ROW($B1346), 0)</f>
        <v>0</v>
      </c>
      <c r="B1346" s="1" t="s">
        <v>59</v>
      </c>
      <c r="C1346" s="1">
        <v>240</v>
      </c>
      <c r="D1346" s="1">
        <v>6</v>
      </c>
    </row>
    <row r="1347" spans="1:4" x14ac:dyDescent="0.25">
      <c r="A1347" s="1">
        <f t="shared" si="26"/>
        <v>0</v>
      </c>
      <c r="B1347" s="1" t="s">
        <v>7</v>
      </c>
      <c r="C1347" s="1">
        <v>328.8</v>
      </c>
      <c r="D1347" s="1">
        <v>6</v>
      </c>
    </row>
    <row r="1348" spans="1:4" x14ac:dyDescent="0.25">
      <c r="A1348" s="1">
        <f t="shared" si="26"/>
        <v>0</v>
      </c>
      <c r="B1348" s="1" t="s">
        <v>14</v>
      </c>
      <c r="C1348" s="1">
        <v>28.75</v>
      </c>
      <c r="D1348" s="1">
        <v>1</v>
      </c>
    </row>
    <row r="1349" spans="1:4" x14ac:dyDescent="0.25">
      <c r="A1349" s="1">
        <f t="shared" si="26"/>
        <v>0</v>
      </c>
      <c r="B1349" s="1" t="s">
        <v>12</v>
      </c>
      <c r="C1349" s="1">
        <v>490</v>
      </c>
      <c r="D1349" s="1">
        <v>14</v>
      </c>
    </row>
    <row r="1350" spans="1:4" x14ac:dyDescent="0.25">
      <c r="A1350" s="1">
        <f t="shared" si="26"/>
        <v>0</v>
      </c>
      <c r="B1350" s="1" t="s">
        <v>49</v>
      </c>
      <c r="C1350" s="1">
        <v>400</v>
      </c>
      <c r="D1350" s="1">
        <v>10</v>
      </c>
    </row>
    <row r="1351" spans="1:4" x14ac:dyDescent="0.25">
      <c r="A1351" s="1">
        <f t="shared" si="26"/>
        <v>0</v>
      </c>
      <c r="B1351" s="1" t="s">
        <v>51</v>
      </c>
      <c r="C1351" s="1">
        <v>38.4</v>
      </c>
      <c r="D1351" s="1">
        <v>1</v>
      </c>
    </row>
    <row r="1352" spans="1:4" x14ac:dyDescent="0.25">
      <c r="A1352" s="1">
        <f t="shared" si="26"/>
        <v>0</v>
      </c>
      <c r="B1352" s="1" t="s">
        <v>19</v>
      </c>
      <c r="C1352" s="1">
        <v>86.25</v>
      </c>
      <c r="D1352" s="1">
        <v>3</v>
      </c>
    </row>
    <row r="1353" spans="1:4" x14ac:dyDescent="0.25">
      <c r="A1353" s="1">
        <f t="shared" si="26"/>
        <v>0</v>
      </c>
      <c r="B1353" s="1" t="s">
        <v>17</v>
      </c>
      <c r="C1353" s="1">
        <v>307.2</v>
      </c>
      <c r="D1353" s="1">
        <v>8</v>
      </c>
    </row>
    <row r="1354" spans="1:4" x14ac:dyDescent="0.25">
      <c r="A1354" s="1">
        <f t="shared" si="26"/>
        <v>0</v>
      </c>
      <c r="B1354" s="1" t="s">
        <v>26</v>
      </c>
      <c r="C1354" s="1">
        <v>112.5</v>
      </c>
      <c r="D1354" s="1">
        <v>3</v>
      </c>
    </row>
    <row r="1355" spans="1:4" x14ac:dyDescent="0.25">
      <c r="A1355" s="1">
        <f t="shared" si="26"/>
        <v>0</v>
      </c>
      <c r="B1355" s="1" t="s">
        <v>40</v>
      </c>
      <c r="C1355" s="1">
        <v>548</v>
      </c>
      <c r="D1355" s="1">
        <v>10</v>
      </c>
    </row>
    <row r="1356" spans="1:4" x14ac:dyDescent="0.25">
      <c r="A1356" s="1">
        <f t="shared" si="26"/>
        <v>0</v>
      </c>
      <c r="B1356" s="1" t="s">
        <v>10</v>
      </c>
      <c r="C1356" s="1">
        <v>115.2</v>
      </c>
      <c r="D1356" s="1">
        <v>3</v>
      </c>
    </row>
    <row r="1357" spans="1:4" x14ac:dyDescent="0.25">
      <c r="A1357" s="1">
        <f t="shared" si="26"/>
        <v>0</v>
      </c>
      <c r="B1357" s="1" t="s">
        <v>30</v>
      </c>
      <c r="C1357" s="1">
        <v>31.98</v>
      </c>
      <c r="D1357" s="1">
        <v>2</v>
      </c>
    </row>
    <row r="1358" spans="1:4" x14ac:dyDescent="0.25">
      <c r="A1358" s="1">
        <f t="shared" si="26"/>
        <v>0</v>
      </c>
      <c r="B1358" s="1" t="s">
        <v>62</v>
      </c>
      <c r="C1358" s="1">
        <v>76.8</v>
      </c>
      <c r="D1358" s="1">
        <v>2</v>
      </c>
    </row>
    <row r="1359" spans="1:4" x14ac:dyDescent="0.25">
      <c r="A1359" s="1">
        <f t="shared" si="26"/>
        <v>0</v>
      </c>
      <c r="B1359" s="1" t="s">
        <v>16</v>
      </c>
      <c r="C1359" s="1">
        <v>281.60000000000002</v>
      </c>
      <c r="D1359" s="1">
        <v>9</v>
      </c>
    </row>
    <row r="1360" spans="1:4" x14ac:dyDescent="0.25">
      <c r="A1360" s="1">
        <f t="shared" si="26"/>
        <v>0</v>
      </c>
      <c r="B1360" s="1" t="s">
        <v>9</v>
      </c>
      <c r="C1360" s="1">
        <v>54.8</v>
      </c>
      <c r="D1360" s="1">
        <v>1</v>
      </c>
    </row>
    <row r="1361" spans="1:4" x14ac:dyDescent="0.25">
      <c r="A1361" s="1">
        <f t="shared" si="26"/>
        <v>0</v>
      </c>
      <c r="B1361" s="1" t="s">
        <v>36</v>
      </c>
      <c r="C1361" s="1">
        <v>76.8</v>
      </c>
      <c r="D1361" s="1">
        <v>2</v>
      </c>
    </row>
    <row r="1362" spans="1:4" x14ac:dyDescent="0.25">
      <c r="A1362" s="1">
        <f t="shared" si="26"/>
        <v>0</v>
      </c>
      <c r="B1362" s="1" t="s">
        <v>38</v>
      </c>
      <c r="C1362" s="1">
        <v>64</v>
      </c>
      <c r="D1362" s="1">
        <v>1</v>
      </c>
    </row>
    <row r="1363" spans="1:4" x14ac:dyDescent="0.25">
      <c r="A1363" s="1">
        <f t="shared" si="26"/>
        <v>0</v>
      </c>
      <c r="B1363" s="1" t="s">
        <v>34</v>
      </c>
      <c r="C1363" s="1">
        <v>192</v>
      </c>
      <c r="D1363" s="1">
        <v>4</v>
      </c>
    </row>
    <row r="1364" spans="1:4" x14ac:dyDescent="0.25">
      <c r="A1364" s="1">
        <f t="shared" si="26"/>
        <v>0</v>
      </c>
      <c r="B1364" s="1" t="s">
        <v>37</v>
      </c>
      <c r="C1364" s="1">
        <v>54.8</v>
      </c>
      <c r="D1364" s="1">
        <v>1</v>
      </c>
    </row>
    <row r="1365" spans="1:4" x14ac:dyDescent="0.25">
      <c r="A1365" s="1">
        <f t="shared" si="26"/>
        <v>0</v>
      </c>
      <c r="B1365" s="1" t="s">
        <v>56</v>
      </c>
      <c r="C1365" s="1">
        <v>38.4</v>
      </c>
      <c r="D1365" s="1">
        <v>1</v>
      </c>
    </row>
    <row r="1366" spans="1:4" x14ac:dyDescent="0.25">
      <c r="A1366" s="1">
        <f t="shared" si="26"/>
        <v>0</v>
      </c>
      <c r="B1366" s="1" t="s">
        <v>27</v>
      </c>
      <c r="C1366" s="1">
        <v>38.4</v>
      </c>
      <c r="D1366" s="1">
        <v>1</v>
      </c>
    </row>
    <row r="1367" spans="1:4" x14ac:dyDescent="0.25">
      <c r="A1367" s="1">
        <f t="shared" si="26"/>
        <v>0</v>
      </c>
      <c r="B1367" s="1" t="s">
        <v>54</v>
      </c>
      <c r="C1367" s="1">
        <v>76.8</v>
      </c>
      <c r="D1367" s="1">
        <v>2</v>
      </c>
    </row>
    <row r="1368" spans="1:4" x14ac:dyDescent="0.25">
      <c r="A1368" s="1">
        <f t="shared" si="26"/>
        <v>0</v>
      </c>
      <c r="B1368" s="1" t="s">
        <v>55</v>
      </c>
      <c r="C1368" s="1">
        <v>76.8</v>
      </c>
      <c r="D1368" s="1">
        <v>3</v>
      </c>
    </row>
    <row r="1369" spans="1:4" x14ac:dyDescent="0.25">
      <c r="A1369" s="1">
        <f t="shared" si="26"/>
        <v>0</v>
      </c>
      <c r="B1369" s="1" t="s">
        <v>22</v>
      </c>
      <c r="C1369" s="1">
        <v>54.8</v>
      </c>
      <c r="D1369" s="1">
        <v>1</v>
      </c>
    </row>
    <row r="1370" spans="1:4" x14ac:dyDescent="0.25">
      <c r="A1370" s="1">
        <f t="shared" si="26"/>
        <v>0</v>
      </c>
      <c r="B1370" s="1" t="s">
        <v>67</v>
      </c>
      <c r="C1370" s="1">
        <v>49.95</v>
      </c>
      <c r="D1370" s="1">
        <v>1</v>
      </c>
    </row>
    <row r="1371" spans="1:4" x14ac:dyDescent="0.25">
      <c r="A1371" s="1">
        <f t="shared" si="26"/>
        <v>0</v>
      </c>
      <c r="B1371" s="1" t="s">
        <v>41</v>
      </c>
      <c r="C1371" s="1">
        <v>28.75</v>
      </c>
      <c r="D1371" s="1">
        <v>1</v>
      </c>
    </row>
    <row r="1372" spans="1:4" x14ac:dyDescent="0.25">
      <c r="A1372" s="1">
        <f t="shared" si="26"/>
        <v>0</v>
      </c>
      <c r="B1372" s="1" t="s">
        <v>39</v>
      </c>
      <c r="C1372" s="1">
        <v>40</v>
      </c>
      <c r="D1372" s="1">
        <v>1</v>
      </c>
    </row>
    <row r="1373" spans="1:4" x14ac:dyDescent="0.25">
      <c r="A1373" s="1">
        <f t="shared" si="26"/>
        <v>0</v>
      </c>
      <c r="B1373" s="1" t="s">
        <v>44</v>
      </c>
      <c r="C1373" s="1">
        <v>38.4</v>
      </c>
      <c r="D1373" s="1">
        <v>1</v>
      </c>
    </row>
    <row r="1374" spans="1:4" x14ac:dyDescent="0.25">
      <c r="A1374" s="1">
        <f t="shared" si="26"/>
        <v>0</v>
      </c>
      <c r="B1374" s="1" t="s">
        <v>45</v>
      </c>
      <c r="C1374" s="1">
        <v>57.5</v>
      </c>
      <c r="D1374" s="1">
        <v>2</v>
      </c>
    </row>
    <row r="1375" spans="1:4" x14ac:dyDescent="0.25">
      <c r="A1375" s="1">
        <f t="shared" si="26"/>
        <v>1375</v>
      </c>
      <c r="B1375" s="1" t="s">
        <v>120</v>
      </c>
    </row>
    <row r="1376" spans="1:4" x14ac:dyDescent="0.25">
      <c r="A1376" s="1">
        <f t="shared" si="26"/>
        <v>0</v>
      </c>
      <c r="B1376" s="1" t="s">
        <v>1</v>
      </c>
      <c r="C1376" s="1">
        <v>70</v>
      </c>
    </row>
    <row r="1377" spans="1:4" x14ac:dyDescent="0.25">
      <c r="A1377" s="1">
        <f t="shared" si="26"/>
        <v>0</v>
      </c>
      <c r="B1377" s="1" t="s">
        <v>2</v>
      </c>
      <c r="C1377" s="1">
        <v>2591.4499999999998</v>
      </c>
    </row>
    <row r="1378" spans="1:4" x14ac:dyDescent="0.25">
      <c r="A1378" s="1">
        <f t="shared" si="26"/>
        <v>0</v>
      </c>
      <c r="B1378" s="1" t="s">
        <v>3</v>
      </c>
      <c r="C1378" s="1" t="s">
        <v>4</v>
      </c>
      <c r="D1378" s="1" t="s">
        <v>5</v>
      </c>
    </row>
    <row r="1379" spans="1:4" x14ac:dyDescent="0.25">
      <c r="A1379" s="1">
        <f t="shared" si="26"/>
        <v>0</v>
      </c>
      <c r="B1379" s="1" t="s">
        <v>18</v>
      </c>
      <c r="C1379" s="1">
        <v>307.2</v>
      </c>
      <c r="D1379" s="1">
        <v>8</v>
      </c>
    </row>
    <row r="1380" spans="1:4" x14ac:dyDescent="0.25">
      <c r="A1380" s="1">
        <f t="shared" si="26"/>
        <v>0</v>
      </c>
      <c r="B1380" s="1" t="s">
        <v>21</v>
      </c>
      <c r="C1380" s="1">
        <v>164.4</v>
      </c>
      <c r="D1380" s="1">
        <v>4</v>
      </c>
    </row>
    <row r="1381" spans="1:4" x14ac:dyDescent="0.25">
      <c r="A1381" s="1">
        <f t="shared" si="26"/>
        <v>0</v>
      </c>
      <c r="B1381" s="1" t="s">
        <v>17</v>
      </c>
      <c r="C1381" s="1">
        <v>422.4</v>
      </c>
      <c r="D1381" s="1">
        <v>14</v>
      </c>
    </row>
    <row r="1382" spans="1:4" x14ac:dyDescent="0.25">
      <c r="A1382" s="1">
        <f t="shared" si="26"/>
        <v>0</v>
      </c>
      <c r="B1382" s="1" t="s">
        <v>33</v>
      </c>
      <c r="C1382" s="1">
        <v>40</v>
      </c>
      <c r="D1382" s="1">
        <v>1</v>
      </c>
    </row>
    <row r="1383" spans="1:4" x14ac:dyDescent="0.25">
      <c r="A1383" s="1">
        <f t="shared" si="26"/>
        <v>0</v>
      </c>
      <c r="B1383" s="1" t="s">
        <v>7</v>
      </c>
      <c r="C1383" s="1">
        <v>109.6</v>
      </c>
      <c r="D1383" s="1">
        <v>3</v>
      </c>
    </row>
    <row r="1384" spans="1:4" x14ac:dyDescent="0.25">
      <c r="A1384" s="1">
        <f t="shared" si="26"/>
        <v>0</v>
      </c>
      <c r="B1384" s="1" t="s">
        <v>52</v>
      </c>
      <c r="C1384" s="1">
        <v>64</v>
      </c>
      <c r="D1384" s="1">
        <v>1</v>
      </c>
    </row>
    <row r="1385" spans="1:4" x14ac:dyDescent="0.25">
      <c r="A1385" s="1">
        <f t="shared" si="26"/>
        <v>0</v>
      </c>
      <c r="B1385" s="1" t="s">
        <v>6</v>
      </c>
      <c r="C1385" s="1">
        <v>109.6</v>
      </c>
      <c r="D1385" s="1">
        <v>2</v>
      </c>
    </row>
    <row r="1386" spans="1:4" x14ac:dyDescent="0.25">
      <c r="A1386" s="1">
        <f t="shared" si="26"/>
        <v>0</v>
      </c>
      <c r="B1386" s="1" t="s">
        <v>62</v>
      </c>
      <c r="C1386" s="1">
        <v>76.8</v>
      </c>
      <c r="D1386" s="1">
        <v>2</v>
      </c>
    </row>
    <row r="1387" spans="1:4" x14ac:dyDescent="0.25">
      <c r="A1387" s="1">
        <f t="shared" si="26"/>
        <v>0</v>
      </c>
      <c r="B1387" s="1" t="s">
        <v>13</v>
      </c>
      <c r="C1387" s="1">
        <v>153.6</v>
      </c>
      <c r="D1387" s="1">
        <v>5</v>
      </c>
    </row>
    <row r="1388" spans="1:4" x14ac:dyDescent="0.25">
      <c r="A1388" s="1">
        <f t="shared" si="26"/>
        <v>0</v>
      </c>
      <c r="B1388" s="1" t="s">
        <v>26</v>
      </c>
      <c r="C1388" s="1">
        <v>37.5</v>
      </c>
      <c r="D1388" s="1">
        <v>1</v>
      </c>
    </row>
    <row r="1389" spans="1:4" x14ac:dyDescent="0.25">
      <c r="A1389" s="1">
        <f t="shared" si="26"/>
        <v>0</v>
      </c>
      <c r="B1389" s="1" t="s">
        <v>14</v>
      </c>
      <c r="C1389" s="1">
        <v>28.75</v>
      </c>
      <c r="D1389" s="1">
        <v>1</v>
      </c>
    </row>
    <row r="1390" spans="1:4" x14ac:dyDescent="0.25">
      <c r="A1390" s="1">
        <f t="shared" si="26"/>
        <v>0</v>
      </c>
      <c r="B1390" s="1" t="s">
        <v>19</v>
      </c>
      <c r="C1390" s="1">
        <v>57.5</v>
      </c>
      <c r="D1390" s="1">
        <v>2</v>
      </c>
    </row>
    <row r="1391" spans="1:4" x14ac:dyDescent="0.25">
      <c r="A1391" s="1">
        <f t="shared" si="26"/>
        <v>0</v>
      </c>
      <c r="B1391" s="1" t="s">
        <v>49</v>
      </c>
      <c r="C1391" s="1">
        <v>40</v>
      </c>
      <c r="D1391" s="1">
        <v>1</v>
      </c>
    </row>
    <row r="1392" spans="1:4" x14ac:dyDescent="0.25">
      <c r="A1392" s="1">
        <f t="shared" si="26"/>
        <v>0</v>
      </c>
      <c r="B1392" s="1" t="s">
        <v>27</v>
      </c>
      <c r="C1392" s="1">
        <v>115.2</v>
      </c>
      <c r="D1392" s="1">
        <v>3</v>
      </c>
    </row>
    <row r="1393" spans="1:4" x14ac:dyDescent="0.25">
      <c r="A1393" s="1">
        <f t="shared" si="26"/>
        <v>0</v>
      </c>
      <c r="B1393" s="1" t="s">
        <v>8</v>
      </c>
      <c r="C1393" s="1">
        <v>109.6</v>
      </c>
      <c r="D1393" s="1">
        <v>2</v>
      </c>
    </row>
    <row r="1394" spans="1:4" x14ac:dyDescent="0.25">
      <c r="A1394" s="1">
        <f t="shared" si="26"/>
        <v>0</v>
      </c>
      <c r="B1394" s="1" t="s">
        <v>20</v>
      </c>
      <c r="C1394" s="1">
        <v>115.2</v>
      </c>
      <c r="D1394" s="1">
        <v>3</v>
      </c>
    </row>
    <row r="1395" spans="1:4" x14ac:dyDescent="0.25">
      <c r="A1395" s="1">
        <f t="shared" si="26"/>
        <v>0</v>
      </c>
      <c r="B1395" s="1" t="s">
        <v>64</v>
      </c>
      <c r="C1395" s="1">
        <v>38.4</v>
      </c>
      <c r="D1395" s="1">
        <v>2</v>
      </c>
    </row>
    <row r="1396" spans="1:4" x14ac:dyDescent="0.25">
      <c r="A1396" s="1">
        <f t="shared" si="26"/>
        <v>0</v>
      </c>
      <c r="B1396" s="1" t="s">
        <v>35</v>
      </c>
      <c r="C1396" s="1">
        <v>38.4</v>
      </c>
      <c r="D1396" s="1">
        <v>1</v>
      </c>
    </row>
    <row r="1397" spans="1:4" x14ac:dyDescent="0.25">
      <c r="A1397" s="1">
        <f t="shared" si="26"/>
        <v>0</v>
      </c>
      <c r="B1397" s="1" t="s">
        <v>54</v>
      </c>
      <c r="C1397" s="1">
        <v>38.4</v>
      </c>
      <c r="D1397" s="1">
        <v>1</v>
      </c>
    </row>
    <row r="1398" spans="1:4" x14ac:dyDescent="0.25">
      <c r="A1398" s="1">
        <f t="shared" si="26"/>
        <v>0</v>
      </c>
      <c r="B1398" s="1" t="s">
        <v>15</v>
      </c>
      <c r="C1398" s="1">
        <v>136</v>
      </c>
      <c r="D1398" s="1">
        <v>2</v>
      </c>
    </row>
    <row r="1399" spans="1:4" x14ac:dyDescent="0.25">
      <c r="A1399" s="1">
        <f t="shared" si="26"/>
        <v>0</v>
      </c>
      <c r="B1399" s="1" t="s">
        <v>71</v>
      </c>
      <c r="C1399" s="1">
        <v>40</v>
      </c>
      <c r="D1399" s="1">
        <v>1</v>
      </c>
    </row>
    <row r="1400" spans="1:4" x14ac:dyDescent="0.25">
      <c r="A1400" s="1">
        <f t="shared" si="26"/>
        <v>0</v>
      </c>
      <c r="B1400" s="1" t="s">
        <v>53</v>
      </c>
      <c r="C1400" s="1">
        <v>28.75</v>
      </c>
      <c r="D1400" s="1">
        <v>1</v>
      </c>
    </row>
    <row r="1401" spans="1:4" x14ac:dyDescent="0.25">
      <c r="A1401" s="1">
        <f t="shared" si="26"/>
        <v>0</v>
      </c>
      <c r="B1401" s="1" t="s">
        <v>32</v>
      </c>
      <c r="C1401" s="1">
        <v>38.4</v>
      </c>
      <c r="D1401" s="1">
        <v>1</v>
      </c>
    </row>
    <row r="1402" spans="1:4" x14ac:dyDescent="0.25">
      <c r="A1402" s="1">
        <f t="shared" si="26"/>
        <v>0</v>
      </c>
      <c r="B1402" s="1" t="s">
        <v>12</v>
      </c>
      <c r="C1402" s="1">
        <v>105</v>
      </c>
      <c r="D1402" s="1">
        <v>3</v>
      </c>
    </row>
    <row r="1403" spans="1:4" x14ac:dyDescent="0.25">
      <c r="A1403" s="1">
        <f t="shared" si="26"/>
        <v>0</v>
      </c>
      <c r="B1403" s="1" t="s">
        <v>22</v>
      </c>
      <c r="C1403" s="1">
        <v>54.8</v>
      </c>
      <c r="D1403" s="1">
        <v>2</v>
      </c>
    </row>
    <row r="1404" spans="1:4" x14ac:dyDescent="0.25">
      <c r="A1404" s="1">
        <f t="shared" si="26"/>
        <v>0</v>
      </c>
      <c r="B1404" s="1" t="s">
        <v>9</v>
      </c>
      <c r="C1404" s="1">
        <v>54.8</v>
      </c>
      <c r="D1404" s="1">
        <v>1</v>
      </c>
    </row>
    <row r="1405" spans="1:4" x14ac:dyDescent="0.25">
      <c r="A1405" s="1">
        <f t="shared" si="26"/>
        <v>0</v>
      </c>
      <c r="B1405" s="1" t="s">
        <v>43</v>
      </c>
      <c r="C1405" s="1">
        <v>28.75</v>
      </c>
      <c r="D1405" s="1">
        <v>1</v>
      </c>
    </row>
    <row r="1406" spans="1:4" x14ac:dyDescent="0.25">
      <c r="A1406" s="1">
        <f t="shared" si="26"/>
        <v>0</v>
      </c>
      <c r="B1406" s="1" t="s">
        <v>55</v>
      </c>
      <c r="C1406" s="1">
        <v>38.4</v>
      </c>
      <c r="D1406" s="1">
        <v>1</v>
      </c>
    </row>
    <row r="1407" spans="1:4" x14ac:dyDescent="0.25">
      <c r="A1407" s="1">
        <f t="shared" si="26"/>
        <v>1407</v>
      </c>
      <c r="B1407" s="1" t="s">
        <v>121</v>
      </c>
    </row>
    <row r="1408" spans="1:4" x14ac:dyDescent="0.25">
      <c r="A1408" s="1">
        <f t="shared" si="26"/>
        <v>0</v>
      </c>
      <c r="B1408" s="1" t="s">
        <v>1</v>
      </c>
      <c r="C1408" s="1">
        <v>54</v>
      </c>
    </row>
    <row r="1409" spans="1:4" x14ac:dyDescent="0.25">
      <c r="A1409" s="1">
        <f t="shared" si="26"/>
        <v>0</v>
      </c>
      <c r="B1409" s="1" t="s">
        <v>2</v>
      </c>
      <c r="C1409" s="1">
        <v>2171.75</v>
      </c>
    </row>
    <row r="1410" spans="1:4" x14ac:dyDescent="0.25">
      <c r="A1410" s="1">
        <f t="shared" ref="A1410:A1473" si="27">IF(COUNTIF($V$3:$Y$99, $B1410)&lt;&gt;0, ROW($B1410), 0)</f>
        <v>0</v>
      </c>
      <c r="B1410" s="1" t="s">
        <v>3</v>
      </c>
      <c r="C1410" s="1" t="s">
        <v>4</v>
      </c>
      <c r="D1410" s="1" t="s">
        <v>5</v>
      </c>
    </row>
    <row r="1411" spans="1:4" x14ac:dyDescent="0.25">
      <c r="A1411" s="1">
        <f t="shared" si="27"/>
        <v>0</v>
      </c>
      <c r="B1411" s="1" t="s">
        <v>8</v>
      </c>
      <c r="C1411" s="1">
        <v>876.8</v>
      </c>
      <c r="D1411" s="1">
        <v>18</v>
      </c>
    </row>
    <row r="1412" spans="1:4" x14ac:dyDescent="0.25">
      <c r="A1412" s="1">
        <f t="shared" si="27"/>
        <v>0</v>
      </c>
      <c r="B1412" s="1" t="s">
        <v>14</v>
      </c>
      <c r="C1412" s="1">
        <v>28.75</v>
      </c>
      <c r="D1412" s="1">
        <v>1</v>
      </c>
    </row>
    <row r="1413" spans="1:4" x14ac:dyDescent="0.25">
      <c r="A1413" s="1">
        <f t="shared" si="27"/>
        <v>0</v>
      </c>
      <c r="B1413" s="1" t="s">
        <v>12</v>
      </c>
      <c r="C1413" s="1">
        <v>175</v>
      </c>
      <c r="D1413" s="1">
        <v>5</v>
      </c>
    </row>
    <row r="1414" spans="1:4" x14ac:dyDescent="0.25">
      <c r="A1414" s="1">
        <f t="shared" si="27"/>
        <v>0</v>
      </c>
      <c r="B1414" s="1" t="s">
        <v>20</v>
      </c>
      <c r="C1414" s="1">
        <v>384</v>
      </c>
      <c r="D1414" s="1">
        <v>14</v>
      </c>
    </row>
    <row r="1415" spans="1:4" x14ac:dyDescent="0.25">
      <c r="A1415" s="1">
        <f t="shared" si="27"/>
        <v>0</v>
      </c>
      <c r="B1415" s="1" t="s">
        <v>21</v>
      </c>
      <c r="C1415" s="1">
        <v>274</v>
      </c>
      <c r="D1415" s="1">
        <v>5</v>
      </c>
    </row>
    <row r="1416" spans="1:4" x14ac:dyDescent="0.25">
      <c r="A1416" s="1">
        <f t="shared" si="27"/>
        <v>0</v>
      </c>
      <c r="B1416" s="1" t="s">
        <v>17</v>
      </c>
      <c r="C1416" s="1">
        <v>115.2</v>
      </c>
      <c r="D1416" s="1">
        <v>3</v>
      </c>
    </row>
    <row r="1417" spans="1:4" x14ac:dyDescent="0.25">
      <c r="A1417" s="1">
        <f t="shared" si="27"/>
        <v>0</v>
      </c>
      <c r="B1417" s="1" t="s">
        <v>13</v>
      </c>
      <c r="C1417" s="1">
        <v>38.4</v>
      </c>
      <c r="D1417" s="1">
        <v>2</v>
      </c>
    </row>
    <row r="1418" spans="1:4" x14ac:dyDescent="0.25">
      <c r="A1418" s="1">
        <f t="shared" si="27"/>
        <v>0</v>
      </c>
      <c r="B1418" s="1" t="s">
        <v>51</v>
      </c>
      <c r="C1418" s="1">
        <v>38.4</v>
      </c>
      <c r="D1418" s="1">
        <v>1</v>
      </c>
    </row>
    <row r="1419" spans="1:4" x14ac:dyDescent="0.25">
      <c r="A1419" s="1">
        <f t="shared" si="27"/>
        <v>0</v>
      </c>
      <c r="B1419" s="1" t="s">
        <v>54</v>
      </c>
      <c r="C1419" s="1">
        <v>38.4</v>
      </c>
      <c r="D1419" s="1">
        <v>1</v>
      </c>
    </row>
    <row r="1420" spans="1:4" x14ac:dyDescent="0.25">
      <c r="A1420" s="1">
        <f t="shared" si="27"/>
        <v>0</v>
      </c>
      <c r="B1420" s="1" t="s">
        <v>22</v>
      </c>
      <c r="C1420" s="1">
        <v>54.8</v>
      </c>
      <c r="D1420" s="1">
        <v>1</v>
      </c>
    </row>
    <row r="1421" spans="1:4" x14ac:dyDescent="0.25">
      <c r="A1421" s="1">
        <f t="shared" si="27"/>
        <v>0</v>
      </c>
      <c r="B1421" s="1" t="s">
        <v>40</v>
      </c>
      <c r="C1421" s="1">
        <v>54.8</v>
      </c>
      <c r="D1421" s="1">
        <v>1</v>
      </c>
    </row>
    <row r="1422" spans="1:4" x14ac:dyDescent="0.25">
      <c r="A1422" s="1">
        <f t="shared" si="27"/>
        <v>0</v>
      </c>
      <c r="B1422" s="1" t="s">
        <v>7</v>
      </c>
      <c r="C1422" s="1">
        <v>54.8</v>
      </c>
      <c r="D1422" s="1">
        <v>1</v>
      </c>
    </row>
    <row r="1423" spans="1:4" x14ac:dyDescent="0.25">
      <c r="A1423" s="1">
        <f t="shared" si="27"/>
        <v>0</v>
      </c>
      <c r="B1423" s="1" t="s">
        <v>44</v>
      </c>
      <c r="C1423" s="1">
        <v>38.4</v>
      </c>
      <c r="D1423" s="1">
        <v>1</v>
      </c>
    </row>
    <row r="1424" spans="1:4" x14ac:dyDescent="0.25">
      <c r="A1424" s="1">
        <f t="shared" si="27"/>
        <v>1424</v>
      </c>
      <c r="B1424" s="1" t="s">
        <v>122</v>
      </c>
    </row>
    <row r="1425" spans="1:4" x14ac:dyDescent="0.25">
      <c r="A1425" s="1">
        <f t="shared" si="27"/>
        <v>0</v>
      </c>
      <c r="B1425" s="1" t="s">
        <v>1</v>
      </c>
      <c r="C1425" s="1">
        <v>52</v>
      </c>
    </row>
    <row r="1426" spans="1:4" x14ac:dyDescent="0.25">
      <c r="A1426" s="1">
        <f t="shared" si="27"/>
        <v>0</v>
      </c>
      <c r="B1426" s="1" t="s">
        <v>2</v>
      </c>
      <c r="C1426" s="1">
        <v>2327.15</v>
      </c>
    </row>
    <row r="1427" spans="1:4" x14ac:dyDescent="0.25">
      <c r="A1427" s="1">
        <f t="shared" si="27"/>
        <v>0</v>
      </c>
      <c r="B1427" s="1" t="s">
        <v>3</v>
      </c>
      <c r="C1427" s="1" t="s">
        <v>4</v>
      </c>
      <c r="D1427" s="1" t="s">
        <v>5</v>
      </c>
    </row>
    <row r="1428" spans="1:4" x14ac:dyDescent="0.25">
      <c r="A1428" s="1">
        <f t="shared" si="27"/>
        <v>0</v>
      </c>
      <c r="B1428" s="1" t="s">
        <v>17</v>
      </c>
      <c r="C1428" s="1">
        <v>153.6</v>
      </c>
      <c r="D1428" s="1">
        <v>4</v>
      </c>
    </row>
    <row r="1429" spans="1:4" x14ac:dyDescent="0.25">
      <c r="A1429" s="1">
        <f t="shared" si="27"/>
        <v>0</v>
      </c>
      <c r="B1429" s="1" t="s">
        <v>12</v>
      </c>
      <c r="C1429" s="1">
        <v>280</v>
      </c>
      <c r="D1429" s="1">
        <v>8</v>
      </c>
    </row>
    <row r="1430" spans="1:4" x14ac:dyDescent="0.25">
      <c r="A1430" s="1">
        <f t="shared" si="27"/>
        <v>0</v>
      </c>
      <c r="B1430" s="1" t="s">
        <v>6</v>
      </c>
      <c r="C1430" s="1">
        <v>274</v>
      </c>
      <c r="D1430" s="1">
        <v>5</v>
      </c>
    </row>
    <row r="1431" spans="1:4" x14ac:dyDescent="0.25">
      <c r="A1431" s="1">
        <f t="shared" si="27"/>
        <v>0</v>
      </c>
      <c r="B1431" s="1" t="s">
        <v>8</v>
      </c>
      <c r="C1431" s="1">
        <v>219.2</v>
      </c>
      <c r="D1431" s="1">
        <v>4</v>
      </c>
    </row>
    <row r="1432" spans="1:4" x14ac:dyDescent="0.25">
      <c r="A1432" s="1">
        <f t="shared" si="27"/>
        <v>0</v>
      </c>
      <c r="B1432" s="1" t="s">
        <v>20</v>
      </c>
      <c r="C1432" s="1">
        <v>192</v>
      </c>
      <c r="D1432" s="1">
        <v>5</v>
      </c>
    </row>
    <row r="1433" spans="1:4" x14ac:dyDescent="0.25">
      <c r="A1433" s="1">
        <f t="shared" si="27"/>
        <v>0</v>
      </c>
      <c r="B1433" s="1" t="s">
        <v>21</v>
      </c>
      <c r="C1433" s="1">
        <v>54.8</v>
      </c>
      <c r="D1433" s="1">
        <v>1</v>
      </c>
    </row>
    <row r="1434" spans="1:4" x14ac:dyDescent="0.25">
      <c r="A1434" s="1">
        <f t="shared" si="27"/>
        <v>0</v>
      </c>
      <c r="B1434" s="1" t="s">
        <v>22</v>
      </c>
      <c r="C1434" s="1">
        <v>202.8</v>
      </c>
      <c r="D1434" s="1">
        <v>4</v>
      </c>
    </row>
    <row r="1435" spans="1:4" x14ac:dyDescent="0.25">
      <c r="A1435" s="1">
        <f t="shared" si="27"/>
        <v>0</v>
      </c>
      <c r="B1435" s="1" t="s">
        <v>33</v>
      </c>
      <c r="C1435" s="1">
        <v>80</v>
      </c>
      <c r="D1435" s="1">
        <v>2</v>
      </c>
    </row>
    <row r="1436" spans="1:4" x14ac:dyDescent="0.25">
      <c r="A1436" s="1">
        <f t="shared" si="27"/>
        <v>0</v>
      </c>
      <c r="B1436" s="1" t="s">
        <v>37</v>
      </c>
      <c r="C1436" s="1">
        <v>109.6</v>
      </c>
      <c r="D1436" s="1">
        <v>2</v>
      </c>
    </row>
    <row r="1437" spans="1:4" x14ac:dyDescent="0.25">
      <c r="A1437" s="1">
        <f t="shared" si="27"/>
        <v>0</v>
      </c>
      <c r="B1437" s="1" t="s">
        <v>9</v>
      </c>
      <c r="C1437" s="1">
        <v>109.6</v>
      </c>
      <c r="D1437" s="1">
        <v>2</v>
      </c>
    </row>
    <row r="1438" spans="1:4" x14ac:dyDescent="0.25">
      <c r="A1438" s="1">
        <f t="shared" si="27"/>
        <v>0</v>
      </c>
      <c r="B1438" s="1" t="s">
        <v>49</v>
      </c>
      <c r="C1438" s="1">
        <v>120</v>
      </c>
      <c r="D1438" s="1">
        <v>3</v>
      </c>
    </row>
    <row r="1439" spans="1:4" x14ac:dyDescent="0.25">
      <c r="A1439" s="1">
        <f t="shared" si="27"/>
        <v>0</v>
      </c>
      <c r="B1439" s="1" t="s">
        <v>19</v>
      </c>
      <c r="C1439" s="1">
        <v>28.75</v>
      </c>
      <c r="D1439" s="1">
        <v>1</v>
      </c>
    </row>
    <row r="1440" spans="1:4" x14ac:dyDescent="0.25">
      <c r="A1440" s="1">
        <f t="shared" si="27"/>
        <v>0</v>
      </c>
      <c r="B1440" s="1" t="s">
        <v>7</v>
      </c>
      <c r="C1440" s="1">
        <v>109.6</v>
      </c>
      <c r="D1440" s="1">
        <v>2</v>
      </c>
    </row>
    <row r="1441" spans="1:4" x14ac:dyDescent="0.25">
      <c r="A1441" s="1">
        <f t="shared" si="27"/>
        <v>0</v>
      </c>
      <c r="B1441" s="1" t="s">
        <v>40</v>
      </c>
      <c r="C1441" s="1">
        <v>164.4</v>
      </c>
      <c r="D1441" s="1">
        <v>3</v>
      </c>
    </row>
    <row r="1442" spans="1:4" x14ac:dyDescent="0.25">
      <c r="A1442" s="1">
        <f t="shared" si="27"/>
        <v>0</v>
      </c>
      <c r="B1442" s="1" t="s">
        <v>57</v>
      </c>
      <c r="C1442" s="1">
        <v>120</v>
      </c>
      <c r="D1442" s="1">
        <v>3</v>
      </c>
    </row>
    <row r="1443" spans="1:4" x14ac:dyDescent="0.25">
      <c r="A1443" s="1">
        <f t="shared" si="27"/>
        <v>0</v>
      </c>
      <c r="B1443" s="1" t="s">
        <v>16</v>
      </c>
      <c r="C1443" s="1">
        <v>70.400000000000006</v>
      </c>
      <c r="D1443" s="1">
        <v>2</v>
      </c>
    </row>
    <row r="1444" spans="1:4" x14ac:dyDescent="0.25">
      <c r="A1444" s="1">
        <f t="shared" si="27"/>
        <v>0</v>
      </c>
      <c r="B1444" s="1" t="s">
        <v>54</v>
      </c>
      <c r="C1444" s="1">
        <v>38.4</v>
      </c>
      <c r="D1444" s="1">
        <v>1</v>
      </c>
    </row>
    <row r="1445" spans="1:4" x14ac:dyDescent="0.25">
      <c r="A1445" s="1">
        <f t="shared" si="27"/>
        <v>1445</v>
      </c>
      <c r="B1445" s="1" t="s">
        <v>123</v>
      </c>
    </row>
    <row r="1446" spans="1:4" x14ac:dyDescent="0.25">
      <c r="A1446" s="1">
        <f t="shared" si="27"/>
        <v>0</v>
      </c>
      <c r="B1446" s="1" t="s">
        <v>1</v>
      </c>
      <c r="C1446" s="1">
        <v>48</v>
      </c>
    </row>
    <row r="1447" spans="1:4" x14ac:dyDescent="0.25">
      <c r="A1447" s="1">
        <f t="shared" si="27"/>
        <v>0</v>
      </c>
      <c r="B1447" s="1" t="s">
        <v>2</v>
      </c>
      <c r="C1447" s="1">
        <v>1861.55</v>
      </c>
    </row>
    <row r="1448" spans="1:4" x14ac:dyDescent="0.25">
      <c r="A1448" s="1">
        <f t="shared" si="27"/>
        <v>0</v>
      </c>
      <c r="B1448" s="1" t="s">
        <v>3</v>
      </c>
      <c r="C1448" s="1" t="s">
        <v>4</v>
      </c>
      <c r="D1448" s="1" t="s">
        <v>5</v>
      </c>
    </row>
    <row r="1449" spans="1:4" x14ac:dyDescent="0.25">
      <c r="A1449" s="1">
        <f t="shared" si="27"/>
        <v>0</v>
      </c>
      <c r="B1449" s="1" t="s">
        <v>17</v>
      </c>
      <c r="C1449" s="1">
        <v>268.8</v>
      </c>
      <c r="D1449" s="1">
        <v>10</v>
      </c>
    </row>
    <row r="1450" spans="1:4" x14ac:dyDescent="0.25">
      <c r="A1450" s="1">
        <f t="shared" si="27"/>
        <v>0</v>
      </c>
      <c r="B1450" s="1" t="s">
        <v>8</v>
      </c>
      <c r="C1450" s="1">
        <v>219.2</v>
      </c>
      <c r="D1450" s="1">
        <v>4</v>
      </c>
    </row>
    <row r="1451" spans="1:4" x14ac:dyDescent="0.25">
      <c r="A1451" s="1">
        <f t="shared" si="27"/>
        <v>0</v>
      </c>
      <c r="B1451" s="1" t="s">
        <v>14</v>
      </c>
      <c r="C1451" s="1">
        <v>28.75</v>
      </c>
      <c r="D1451" s="1">
        <v>1</v>
      </c>
    </row>
    <row r="1452" spans="1:4" x14ac:dyDescent="0.25">
      <c r="A1452" s="1">
        <f t="shared" si="27"/>
        <v>0</v>
      </c>
      <c r="B1452" s="1" t="s">
        <v>18</v>
      </c>
      <c r="C1452" s="1">
        <v>230.4</v>
      </c>
      <c r="D1452" s="1">
        <v>6</v>
      </c>
    </row>
    <row r="1453" spans="1:4" x14ac:dyDescent="0.25">
      <c r="A1453" s="1">
        <f t="shared" si="27"/>
        <v>0</v>
      </c>
      <c r="B1453" s="1" t="s">
        <v>49</v>
      </c>
      <c r="C1453" s="1">
        <v>160</v>
      </c>
      <c r="D1453" s="1">
        <v>4</v>
      </c>
    </row>
    <row r="1454" spans="1:4" x14ac:dyDescent="0.25">
      <c r="A1454" s="1">
        <f t="shared" si="27"/>
        <v>0</v>
      </c>
      <c r="B1454" s="1" t="s">
        <v>7</v>
      </c>
      <c r="C1454" s="1">
        <v>54.8</v>
      </c>
      <c r="D1454" s="1">
        <v>1</v>
      </c>
    </row>
    <row r="1455" spans="1:4" x14ac:dyDescent="0.25">
      <c r="A1455" s="1">
        <f t="shared" si="27"/>
        <v>0</v>
      </c>
      <c r="B1455" s="1" t="s">
        <v>20</v>
      </c>
      <c r="C1455" s="1">
        <v>192</v>
      </c>
      <c r="D1455" s="1">
        <v>6</v>
      </c>
    </row>
    <row r="1456" spans="1:4" x14ac:dyDescent="0.25">
      <c r="A1456" s="1">
        <f t="shared" si="27"/>
        <v>0</v>
      </c>
      <c r="B1456" s="1" t="s">
        <v>64</v>
      </c>
      <c r="C1456" s="1">
        <v>38.4</v>
      </c>
      <c r="D1456" s="1">
        <v>1</v>
      </c>
    </row>
    <row r="1457" spans="1:4" x14ac:dyDescent="0.25">
      <c r="A1457" s="1">
        <f t="shared" si="27"/>
        <v>0</v>
      </c>
      <c r="B1457" s="1" t="s">
        <v>12</v>
      </c>
      <c r="C1457" s="1">
        <v>70</v>
      </c>
      <c r="D1457" s="1">
        <v>2</v>
      </c>
    </row>
    <row r="1458" spans="1:4" x14ac:dyDescent="0.25">
      <c r="A1458" s="1">
        <f t="shared" si="27"/>
        <v>0</v>
      </c>
      <c r="B1458" s="1" t="s">
        <v>21</v>
      </c>
      <c r="C1458" s="1">
        <v>274</v>
      </c>
      <c r="D1458" s="1">
        <v>5</v>
      </c>
    </row>
    <row r="1459" spans="1:4" x14ac:dyDescent="0.25">
      <c r="A1459" s="1">
        <f t="shared" si="27"/>
        <v>0</v>
      </c>
      <c r="B1459" s="1" t="s">
        <v>10</v>
      </c>
      <c r="C1459" s="1">
        <v>76.8</v>
      </c>
      <c r="D1459" s="1">
        <v>2</v>
      </c>
    </row>
    <row r="1460" spans="1:4" x14ac:dyDescent="0.25">
      <c r="A1460" s="1">
        <f t="shared" si="27"/>
        <v>0</v>
      </c>
      <c r="B1460" s="1" t="s">
        <v>16</v>
      </c>
      <c r="C1460" s="1">
        <v>35.200000000000003</v>
      </c>
      <c r="D1460" s="1">
        <v>1</v>
      </c>
    </row>
    <row r="1461" spans="1:4" x14ac:dyDescent="0.25">
      <c r="A1461" s="1">
        <f t="shared" si="27"/>
        <v>0</v>
      </c>
      <c r="B1461" s="1" t="s">
        <v>33</v>
      </c>
      <c r="C1461" s="1">
        <v>80</v>
      </c>
      <c r="D1461" s="1">
        <v>2</v>
      </c>
    </row>
    <row r="1462" spans="1:4" x14ac:dyDescent="0.25">
      <c r="A1462" s="1">
        <f t="shared" si="27"/>
        <v>0</v>
      </c>
      <c r="B1462" s="1" t="s">
        <v>56</v>
      </c>
      <c r="C1462" s="1">
        <v>38.4</v>
      </c>
      <c r="D1462" s="1">
        <v>1</v>
      </c>
    </row>
    <row r="1463" spans="1:4" x14ac:dyDescent="0.25">
      <c r="A1463" s="1">
        <f t="shared" si="27"/>
        <v>0</v>
      </c>
      <c r="B1463" s="1" t="s">
        <v>22</v>
      </c>
      <c r="C1463" s="1">
        <v>54.8</v>
      </c>
      <c r="D1463" s="1">
        <v>1</v>
      </c>
    </row>
    <row r="1464" spans="1:4" x14ac:dyDescent="0.25">
      <c r="A1464" s="1">
        <f t="shared" si="27"/>
        <v>0</v>
      </c>
      <c r="B1464" s="1" t="s">
        <v>39</v>
      </c>
      <c r="C1464" s="1">
        <v>40</v>
      </c>
      <c r="D1464" s="1">
        <v>1</v>
      </c>
    </row>
    <row r="1465" spans="1:4" x14ac:dyDescent="0.25">
      <c r="A1465" s="1">
        <f t="shared" si="27"/>
        <v>1465</v>
      </c>
      <c r="B1465" s="1" t="s">
        <v>124</v>
      </c>
    </row>
    <row r="1466" spans="1:4" x14ac:dyDescent="0.25">
      <c r="A1466" s="1">
        <f t="shared" si="27"/>
        <v>0</v>
      </c>
      <c r="B1466" s="1" t="s">
        <v>1</v>
      </c>
      <c r="C1466" s="1">
        <v>32</v>
      </c>
    </row>
    <row r="1467" spans="1:4" x14ac:dyDescent="0.25">
      <c r="A1467" s="1">
        <f t="shared" si="27"/>
        <v>0</v>
      </c>
      <c r="B1467" s="1" t="s">
        <v>2</v>
      </c>
      <c r="C1467" s="1">
        <v>1325.5</v>
      </c>
    </row>
    <row r="1468" spans="1:4" x14ac:dyDescent="0.25">
      <c r="A1468" s="1">
        <f t="shared" si="27"/>
        <v>0</v>
      </c>
      <c r="B1468" s="1" t="s">
        <v>3</v>
      </c>
      <c r="C1468" s="1" t="s">
        <v>4</v>
      </c>
      <c r="D1468" s="1" t="s">
        <v>5</v>
      </c>
    </row>
    <row r="1469" spans="1:4" x14ac:dyDescent="0.25">
      <c r="A1469" s="1">
        <f t="shared" si="27"/>
        <v>0</v>
      </c>
      <c r="B1469" s="1" t="s">
        <v>16</v>
      </c>
      <c r="C1469" s="1">
        <v>70.400000000000006</v>
      </c>
      <c r="D1469" s="1">
        <v>4</v>
      </c>
    </row>
    <row r="1470" spans="1:4" x14ac:dyDescent="0.25">
      <c r="A1470" s="1">
        <f t="shared" si="27"/>
        <v>0</v>
      </c>
      <c r="B1470" s="1" t="s">
        <v>20</v>
      </c>
      <c r="C1470" s="1">
        <v>192</v>
      </c>
      <c r="D1470" s="1">
        <v>5</v>
      </c>
    </row>
    <row r="1471" spans="1:4" x14ac:dyDescent="0.25">
      <c r="A1471" s="1">
        <f t="shared" si="27"/>
        <v>0</v>
      </c>
      <c r="B1471" s="1" t="s">
        <v>14</v>
      </c>
      <c r="C1471" s="1">
        <v>57.5</v>
      </c>
      <c r="D1471" s="1">
        <v>2</v>
      </c>
    </row>
    <row r="1472" spans="1:4" x14ac:dyDescent="0.25">
      <c r="A1472" s="1">
        <f t="shared" si="27"/>
        <v>0</v>
      </c>
      <c r="B1472" s="1" t="s">
        <v>8</v>
      </c>
      <c r="C1472" s="1">
        <v>274</v>
      </c>
      <c r="D1472" s="1">
        <v>5</v>
      </c>
    </row>
    <row r="1473" spans="1:4" x14ac:dyDescent="0.25">
      <c r="A1473" s="1">
        <f t="shared" si="27"/>
        <v>0</v>
      </c>
      <c r="B1473" s="1" t="s">
        <v>18</v>
      </c>
      <c r="C1473" s="1">
        <v>115.2</v>
      </c>
      <c r="D1473" s="1">
        <v>3</v>
      </c>
    </row>
    <row r="1474" spans="1:4" x14ac:dyDescent="0.25">
      <c r="A1474" s="1">
        <f t="shared" ref="A1474:A1537" si="28">IF(COUNTIF($V$3:$Y$99, $B1474)&lt;&gt;0, ROW($B1474), 0)</f>
        <v>0</v>
      </c>
      <c r="B1474" s="1" t="s">
        <v>12</v>
      </c>
      <c r="C1474" s="1">
        <v>70</v>
      </c>
      <c r="D1474" s="1">
        <v>2</v>
      </c>
    </row>
    <row r="1475" spans="1:4" x14ac:dyDescent="0.25">
      <c r="A1475" s="1">
        <f t="shared" si="28"/>
        <v>0</v>
      </c>
      <c r="B1475" s="1" t="s">
        <v>38</v>
      </c>
      <c r="C1475" s="1">
        <v>64</v>
      </c>
      <c r="D1475" s="1">
        <v>1</v>
      </c>
    </row>
    <row r="1476" spans="1:4" x14ac:dyDescent="0.25">
      <c r="A1476" s="1">
        <f t="shared" si="28"/>
        <v>0</v>
      </c>
      <c r="B1476" s="1" t="s">
        <v>10</v>
      </c>
      <c r="C1476" s="1">
        <v>115.2</v>
      </c>
      <c r="D1476" s="1">
        <v>3</v>
      </c>
    </row>
    <row r="1477" spans="1:4" x14ac:dyDescent="0.25">
      <c r="A1477" s="1">
        <f t="shared" si="28"/>
        <v>0</v>
      </c>
      <c r="B1477" s="1" t="s">
        <v>21</v>
      </c>
      <c r="C1477" s="1">
        <v>54.8</v>
      </c>
      <c r="D1477" s="1">
        <v>1</v>
      </c>
    </row>
    <row r="1478" spans="1:4" x14ac:dyDescent="0.25">
      <c r="A1478" s="1">
        <f t="shared" si="28"/>
        <v>0</v>
      </c>
      <c r="B1478" s="1" t="s">
        <v>37</v>
      </c>
      <c r="C1478" s="1">
        <v>109.6</v>
      </c>
      <c r="D1478" s="1">
        <v>2</v>
      </c>
    </row>
    <row r="1479" spans="1:4" x14ac:dyDescent="0.25">
      <c r="A1479" s="1">
        <f t="shared" si="28"/>
        <v>0</v>
      </c>
      <c r="B1479" s="1" t="s">
        <v>6</v>
      </c>
      <c r="C1479" s="1">
        <v>109.6</v>
      </c>
      <c r="D1479" s="1">
        <v>2</v>
      </c>
    </row>
    <row r="1480" spans="1:4" x14ac:dyDescent="0.25">
      <c r="A1480" s="1">
        <f t="shared" si="28"/>
        <v>0</v>
      </c>
      <c r="B1480" s="1" t="s">
        <v>17</v>
      </c>
      <c r="C1480" s="1">
        <v>38.4</v>
      </c>
      <c r="D1480" s="1">
        <v>1</v>
      </c>
    </row>
    <row r="1481" spans="1:4" x14ac:dyDescent="0.25">
      <c r="A1481" s="1">
        <f t="shared" si="28"/>
        <v>0</v>
      </c>
      <c r="B1481" s="1" t="s">
        <v>40</v>
      </c>
      <c r="C1481" s="1">
        <v>54.8</v>
      </c>
      <c r="D1481" s="1">
        <v>1</v>
      </c>
    </row>
    <row r="1482" spans="1:4" x14ac:dyDescent="0.25">
      <c r="A1482" s="1">
        <f t="shared" si="28"/>
        <v>1482</v>
      </c>
      <c r="B1482" s="1" t="s">
        <v>125</v>
      </c>
    </row>
    <row r="1483" spans="1:4" x14ac:dyDescent="0.25">
      <c r="A1483" s="1">
        <f t="shared" si="28"/>
        <v>0</v>
      </c>
      <c r="B1483" s="1" t="s">
        <v>1</v>
      </c>
      <c r="C1483" s="1">
        <v>55</v>
      </c>
    </row>
    <row r="1484" spans="1:4" x14ac:dyDescent="0.25">
      <c r="A1484" s="1">
        <f t="shared" si="28"/>
        <v>0</v>
      </c>
      <c r="B1484" s="1" t="s">
        <v>2</v>
      </c>
      <c r="C1484" s="1">
        <v>2310.0100000000002</v>
      </c>
    </row>
    <row r="1485" spans="1:4" x14ac:dyDescent="0.25">
      <c r="A1485" s="1">
        <f t="shared" si="28"/>
        <v>0</v>
      </c>
      <c r="B1485" s="1" t="s">
        <v>3</v>
      </c>
      <c r="C1485" s="1" t="s">
        <v>4</v>
      </c>
      <c r="D1485" s="1" t="s">
        <v>5</v>
      </c>
    </row>
    <row r="1486" spans="1:4" x14ac:dyDescent="0.25">
      <c r="A1486" s="1">
        <f t="shared" si="28"/>
        <v>0</v>
      </c>
      <c r="B1486" s="1" t="s">
        <v>20</v>
      </c>
      <c r="C1486" s="1">
        <v>268.8</v>
      </c>
      <c r="D1486" s="1">
        <v>8</v>
      </c>
    </row>
    <row r="1487" spans="1:4" x14ac:dyDescent="0.25">
      <c r="A1487" s="1">
        <f t="shared" si="28"/>
        <v>0</v>
      </c>
      <c r="B1487" s="1" t="s">
        <v>12</v>
      </c>
      <c r="C1487" s="1">
        <v>210</v>
      </c>
      <c r="D1487" s="1">
        <v>6</v>
      </c>
    </row>
    <row r="1488" spans="1:4" x14ac:dyDescent="0.25">
      <c r="A1488" s="1">
        <f t="shared" si="28"/>
        <v>0</v>
      </c>
      <c r="B1488" s="1" t="s">
        <v>21</v>
      </c>
      <c r="C1488" s="1">
        <v>274</v>
      </c>
      <c r="D1488" s="1">
        <v>5</v>
      </c>
    </row>
    <row r="1489" spans="1:4" x14ac:dyDescent="0.25">
      <c r="A1489" s="1">
        <f t="shared" si="28"/>
        <v>0</v>
      </c>
      <c r="B1489" s="1" t="s">
        <v>49</v>
      </c>
      <c r="C1489" s="1">
        <v>40</v>
      </c>
      <c r="D1489" s="1">
        <v>1</v>
      </c>
    </row>
    <row r="1490" spans="1:4" x14ac:dyDescent="0.25">
      <c r="A1490" s="1">
        <f t="shared" si="28"/>
        <v>0</v>
      </c>
      <c r="B1490" s="1" t="s">
        <v>8</v>
      </c>
      <c r="C1490" s="1">
        <v>219.2</v>
      </c>
      <c r="D1490" s="1">
        <v>4</v>
      </c>
    </row>
    <row r="1491" spans="1:4" x14ac:dyDescent="0.25">
      <c r="A1491" s="1">
        <f t="shared" si="28"/>
        <v>0</v>
      </c>
      <c r="B1491" s="1" t="s">
        <v>15</v>
      </c>
      <c r="C1491" s="1">
        <v>68</v>
      </c>
      <c r="D1491" s="1">
        <v>1</v>
      </c>
    </row>
    <row r="1492" spans="1:4" x14ac:dyDescent="0.25">
      <c r="A1492" s="1">
        <f t="shared" si="28"/>
        <v>0</v>
      </c>
      <c r="B1492" s="1" t="s">
        <v>40</v>
      </c>
      <c r="C1492" s="1">
        <v>164.4</v>
      </c>
      <c r="D1492" s="1">
        <v>3</v>
      </c>
    </row>
    <row r="1493" spans="1:4" x14ac:dyDescent="0.25">
      <c r="A1493" s="1">
        <f t="shared" si="28"/>
        <v>0</v>
      </c>
      <c r="B1493" s="1" t="s">
        <v>19</v>
      </c>
      <c r="C1493" s="1">
        <v>57.5</v>
      </c>
      <c r="D1493" s="1">
        <v>2</v>
      </c>
    </row>
    <row r="1494" spans="1:4" x14ac:dyDescent="0.25">
      <c r="A1494" s="1">
        <f t="shared" si="28"/>
        <v>0</v>
      </c>
      <c r="B1494" s="1" t="s">
        <v>7</v>
      </c>
      <c r="C1494" s="1">
        <v>54.8</v>
      </c>
      <c r="D1494" s="1">
        <v>1</v>
      </c>
    </row>
    <row r="1495" spans="1:4" x14ac:dyDescent="0.25">
      <c r="A1495" s="1">
        <f t="shared" si="28"/>
        <v>0</v>
      </c>
      <c r="B1495" s="1" t="s">
        <v>22</v>
      </c>
      <c r="C1495" s="1">
        <v>164.4</v>
      </c>
      <c r="D1495" s="1">
        <v>3</v>
      </c>
    </row>
    <row r="1496" spans="1:4" x14ac:dyDescent="0.25">
      <c r="A1496" s="1">
        <f t="shared" si="28"/>
        <v>0</v>
      </c>
      <c r="B1496" s="1" t="s">
        <v>6</v>
      </c>
      <c r="C1496" s="1">
        <v>54.8</v>
      </c>
      <c r="D1496" s="1">
        <v>1</v>
      </c>
    </row>
    <row r="1497" spans="1:4" x14ac:dyDescent="0.25">
      <c r="A1497" s="1">
        <f t="shared" si="28"/>
        <v>0</v>
      </c>
      <c r="B1497" s="1" t="s">
        <v>64</v>
      </c>
      <c r="C1497" s="1">
        <v>76.8</v>
      </c>
      <c r="D1497" s="1">
        <v>2</v>
      </c>
    </row>
    <row r="1498" spans="1:4" x14ac:dyDescent="0.25">
      <c r="A1498" s="1">
        <f t="shared" si="28"/>
        <v>0</v>
      </c>
      <c r="B1498" s="1" t="s">
        <v>18</v>
      </c>
      <c r="C1498" s="1">
        <v>230.4</v>
      </c>
      <c r="D1498" s="1">
        <v>7</v>
      </c>
    </row>
    <row r="1499" spans="1:4" x14ac:dyDescent="0.25">
      <c r="A1499" s="1">
        <f t="shared" si="28"/>
        <v>0</v>
      </c>
      <c r="B1499" s="1" t="s">
        <v>14</v>
      </c>
      <c r="C1499" s="1">
        <v>28.75</v>
      </c>
      <c r="D1499" s="1">
        <v>1</v>
      </c>
    </row>
    <row r="1500" spans="1:4" x14ac:dyDescent="0.25">
      <c r="A1500" s="1">
        <f t="shared" si="28"/>
        <v>0</v>
      </c>
      <c r="B1500" s="1" t="s">
        <v>33</v>
      </c>
      <c r="C1500" s="1">
        <v>40</v>
      </c>
      <c r="D1500" s="1">
        <v>1</v>
      </c>
    </row>
    <row r="1501" spans="1:4" x14ac:dyDescent="0.25">
      <c r="A1501" s="1">
        <f t="shared" si="28"/>
        <v>0</v>
      </c>
      <c r="B1501" s="1" t="s">
        <v>17</v>
      </c>
      <c r="C1501" s="1">
        <v>115.2</v>
      </c>
      <c r="D1501" s="1">
        <v>3</v>
      </c>
    </row>
    <row r="1502" spans="1:4" x14ac:dyDescent="0.25">
      <c r="A1502" s="1">
        <f t="shared" si="28"/>
        <v>0</v>
      </c>
      <c r="B1502" s="1" t="s">
        <v>31</v>
      </c>
      <c r="C1502" s="1">
        <v>34.56</v>
      </c>
      <c r="D1502" s="1">
        <v>1</v>
      </c>
    </row>
    <row r="1503" spans="1:4" x14ac:dyDescent="0.25">
      <c r="A1503" s="1">
        <f t="shared" si="28"/>
        <v>0</v>
      </c>
      <c r="B1503" s="1" t="s">
        <v>54</v>
      </c>
      <c r="C1503" s="1">
        <v>38.4</v>
      </c>
      <c r="D1503" s="1">
        <v>1</v>
      </c>
    </row>
    <row r="1504" spans="1:4" x14ac:dyDescent="0.25">
      <c r="A1504" s="1">
        <f t="shared" si="28"/>
        <v>0</v>
      </c>
      <c r="B1504" s="1" t="s">
        <v>9</v>
      </c>
      <c r="C1504" s="1">
        <v>54.8</v>
      </c>
      <c r="D1504" s="1">
        <v>1</v>
      </c>
    </row>
    <row r="1505" spans="1:4" x14ac:dyDescent="0.25">
      <c r="A1505" s="1">
        <f t="shared" si="28"/>
        <v>0</v>
      </c>
      <c r="B1505" s="1" t="s">
        <v>13</v>
      </c>
      <c r="C1505" s="1">
        <v>38.4</v>
      </c>
      <c r="D1505" s="1">
        <v>1</v>
      </c>
    </row>
    <row r="1506" spans="1:4" x14ac:dyDescent="0.25">
      <c r="A1506" s="1">
        <f t="shared" si="28"/>
        <v>0</v>
      </c>
      <c r="B1506" s="1" t="s">
        <v>27</v>
      </c>
      <c r="C1506" s="1">
        <v>38.4</v>
      </c>
      <c r="D1506" s="1">
        <v>1</v>
      </c>
    </row>
    <row r="1507" spans="1:4" x14ac:dyDescent="0.25">
      <c r="A1507" s="1">
        <f t="shared" si="28"/>
        <v>0</v>
      </c>
      <c r="B1507" s="1" t="s">
        <v>56</v>
      </c>
      <c r="C1507" s="1">
        <v>38.4</v>
      </c>
      <c r="D1507" s="1">
        <v>1</v>
      </c>
    </row>
    <row r="1508" spans="1:4" x14ac:dyDescent="0.25">
      <c r="A1508" s="1">
        <f t="shared" si="28"/>
        <v>1508</v>
      </c>
      <c r="B1508" s="1" t="s">
        <v>126</v>
      </c>
    </row>
    <row r="1509" spans="1:4" x14ac:dyDescent="0.25">
      <c r="A1509" s="1">
        <f t="shared" si="28"/>
        <v>0</v>
      </c>
      <c r="B1509" s="1" t="s">
        <v>1</v>
      </c>
      <c r="C1509" s="1">
        <v>19</v>
      </c>
    </row>
    <row r="1510" spans="1:4" x14ac:dyDescent="0.25">
      <c r="A1510" s="1">
        <f t="shared" si="28"/>
        <v>0</v>
      </c>
      <c r="B1510" s="1" t="s">
        <v>2</v>
      </c>
      <c r="C1510" s="1">
        <v>757.7</v>
      </c>
    </row>
    <row r="1511" spans="1:4" x14ac:dyDescent="0.25">
      <c r="A1511" s="1">
        <f t="shared" si="28"/>
        <v>0</v>
      </c>
      <c r="B1511" s="1" t="s">
        <v>3</v>
      </c>
      <c r="C1511" s="1" t="s">
        <v>4</v>
      </c>
      <c r="D1511" s="1" t="s">
        <v>5</v>
      </c>
    </row>
    <row r="1512" spans="1:4" x14ac:dyDescent="0.25">
      <c r="A1512" s="1">
        <f t="shared" si="28"/>
        <v>0</v>
      </c>
      <c r="B1512" s="1" t="s">
        <v>18</v>
      </c>
      <c r="C1512" s="1">
        <v>115.2</v>
      </c>
      <c r="D1512" s="1">
        <v>3</v>
      </c>
    </row>
    <row r="1513" spans="1:4" x14ac:dyDescent="0.25">
      <c r="A1513" s="1">
        <f t="shared" si="28"/>
        <v>0</v>
      </c>
      <c r="B1513" s="1" t="s">
        <v>8</v>
      </c>
      <c r="C1513" s="1">
        <v>109.6</v>
      </c>
      <c r="D1513" s="1">
        <v>2</v>
      </c>
    </row>
    <row r="1514" spans="1:4" x14ac:dyDescent="0.25">
      <c r="A1514" s="1">
        <f t="shared" si="28"/>
        <v>0</v>
      </c>
      <c r="B1514" s="1" t="s">
        <v>33</v>
      </c>
      <c r="C1514" s="1">
        <v>120</v>
      </c>
      <c r="D1514" s="1">
        <v>3</v>
      </c>
    </row>
    <row r="1515" spans="1:4" x14ac:dyDescent="0.25">
      <c r="A1515" s="1">
        <f t="shared" si="28"/>
        <v>0</v>
      </c>
      <c r="B1515" s="1" t="s">
        <v>14</v>
      </c>
      <c r="C1515" s="1">
        <v>28.75</v>
      </c>
      <c r="D1515" s="1">
        <v>1</v>
      </c>
    </row>
    <row r="1516" spans="1:4" x14ac:dyDescent="0.25">
      <c r="A1516" s="1">
        <f t="shared" si="28"/>
        <v>0</v>
      </c>
      <c r="B1516" s="1" t="s">
        <v>17</v>
      </c>
      <c r="C1516" s="1">
        <v>38.4</v>
      </c>
      <c r="D1516" s="1">
        <v>1</v>
      </c>
    </row>
    <row r="1517" spans="1:4" x14ac:dyDescent="0.25">
      <c r="A1517" s="1">
        <f t="shared" si="28"/>
        <v>0</v>
      </c>
      <c r="B1517" s="1" t="s">
        <v>20</v>
      </c>
      <c r="C1517" s="1">
        <v>115.2</v>
      </c>
      <c r="D1517" s="1">
        <v>3</v>
      </c>
    </row>
    <row r="1518" spans="1:4" x14ac:dyDescent="0.25">
      <c r="A1518" s="1">
        <f t="shared" si="28"/>
        <v>0</v>
      </c>
      <c r="B1518" s="1" t="s">
        <v>41</v>
      </c>
      <c r="C1518" s="1">
        <v>28.75</v>
      </c>
      <c r="D1518" s="1">
        <v>1</v>
      </c>
    </row>
    <row r="1519" spans="1:4" x14ac:dyDescent="0.25">
      <c r="A1519" s="1">
        <f t="shared" si="28"/>
        <v>0</v>
      </c>
      <c r="B1519" s="1" t="s">
        <v>27</v>
      </c>
      <c r="C1519" s="1">
        <v>38.4</v>
      </c>
      <c r="D1519" s="1">
        <v>1</v>
      </c>
    </row>
    <row r="1520" spans="1:4" x14ac:dyDescent="0.25">
      <c r="A1520" s="1">
        <f t="shared" si="28"/>
        <v>0</v>
      </c>
      <c r="B1520" s="1" t="s">
        <v>12</v>
      </c>
      <c r="C1520" s="1">
        <v>35</v>
      </c>
      <c r="D1520" s="1">
        <v>1</v>
      </c>
    </row>
    <row r="1521" spans="1:4" x14ac:dyDescent="0.25">
      <c r="A1521" s="1">
        <f t="shared" si="28"/>
        <v>0</v>
      </c>
      <c r="B1521" s="1" t="s">
        <v>40</v>
      </c>
      <c r="C1521" s="1">
        <v>54.8</v>
      </c>
      <c r="D1521" s="1">
        <v>1</v>
      </c>
    </row>
    <row r="1522" spans="1:4" x14ac:dyDescent="0.25">
      <c r="A1522" s="1">
        <f t="shared" si="28"/>
        <v>0</v>
      </c>
      <c r="B1522" s="1" t="s">
        <v>54</v>
      </c>
      <c r="C1522" s="1">
        <v>38.4</v>
      </c>
      <c r="D1522" s="1">
        <v>1</v>
      </c>
    </row>
    <row r="1523" spans="1:4" x14ac:dyDescent="0.25">
      <c r="A1523" s="1">
        <f t="shared" si="28"/>
        <v>0</v>
      </c>
      <c r="B1523" s="1" t="s">
        <v>16</v>
      </c>
      <c r="C1523" s="1">
        <v>35.200000000000003</v>
      </c>
      <c r="D1523" s="1">
        <v>1</v>
      </c>
    </row>
    <row r="1524" spans="1:4" x14ac:dyDescent="0.25">
      <c r="A1524" s="1">
        <f t="shared" si="28"/>
        <v>1524</v>
      </c>
      <c r="B1524" s="1" t="s">
        <v>127</v>
      </c>
    </row>
    <row r="1525" spans="1:4" x14ac:dyDescent="0.25">
      <c r="A1525" s="1">
        <f t="shared" si="28"/>
        <v>0</v>
      </c>
      <c r="B1525" s="1" t="s">
        <v>1</v>
      </c>
      <c r="C1525" s="1">
        <v>42</v>
      </c>
    </row>
    <row r="1526" spans="1:4" x14ac:dyDescent="0.25">
      <c r="A1526" s="1">
        <f t="shared" si="28"/>
        <v>0</v>
      </c>
      <c r="B1526" s="1" t="s">
        <v>2</v>
      </c>
      <c r="C1526" s="1">
        <v>1822.65</v>
      </c>
    </row>
    <row r="1527" spans="1:4" x14ac:dyDescent="0.25">
      <c r="A1527" s="1">
        <f t="shared" si="28"/>
        <v>0</v>
      </c>
      <c r="B1527" s="1" t="s">
        <v>3</v>
      </c>
      <c r="C1527" s="1" t="s">
        <v>4</v>
      </c>
      <c r="D1527" s="1" t="s">
        <v>5</v>
      </c>
    </row>
    <row r="1528" spans="1:4" x14ac:dyDescent="0.25">
      <c r="A1528" s="1">
        <f t="shared" si="28"/>
        <v>0</v>
      </c>
      <c r="B1528" s="1" t="s">
        <v>6</v>
      </c>
      <c r="C1528" s="1">
        <v>54.8</v>
      </c>
      <c r="D1528" s="1">
        <v>1</v>
      </c>
    </row>
    <row r="1529" spans="1:4" x14ac:dyDescent="0.25">
      <c r="A1529" s="1">
        <f t="shared" si="28"/>
        <v>0</v>
      </c>
      <c r="B1529" s="1" t="s">
        <v>20</v>
      </c>
      <c r="C1529" s="1">
        <v>192</v>
      </c>
      <c r="D1529" s="1">
        <v>5</v>
      </c>
    </row>
    <row r="1530" spans="1:4" x14ac:dyDescent="0.25">
      <c r="A1530" s="1">
        <f t="shared" si="28"/>
        <v>0</v>
      </c>
      <c r="B1530" s="1" t="s">
        <v>18</v>
      </c>
      <c r="C1530" s="1">
        <v>268.8</v>
      </c>
      <c r="D1530" s="1">
        <v>7</v>
      </c>
    </row>
    <row r="1531" spans="1:4" x14ac:dyDescent="0.25">
      <c r="A1531" s="1">
        <f t="shared" si="28"/>
        <v>0</v>
      </c>
      <c r="B1531" s="1" t="s">
        <v>8</v>
      </c>
      <c r="C1531" s="1">
        <v>493.2</v>
      </c>
      <c r="D1531" s="1">
        <v>10</v>
      </c>
    </row>
    <row r="1532" spans="1:4" x14ac:dyDescent="0.25">
      <c r="A1532" s="1">
        <f t="shared" si="28"/>
        <v>0</v>
      </c>
      <c r="B1532" s="1" t="s">
        <v>17</v>
      </c>
      <c r="C1532" s="1">
        <v>38.4</v>
      </c>
      <c r="D1532" s="1">
        <v>1</v>
      </c>
    </row>
    <row r="1533" spans="1:4" x14ac:dyDescent="0.25">
      <c r="A1533" s="1">
        <f t="shared" si="28"/>
        <v>0</v>
      </c>
      <c r="B1533" s="1" t="s">
        <v>7</v>
      </c>
      <c r="C1533" s="1">
        <v>109.6</v>
      </c>
      <c r="D1533" s="1">
        <v>2</v>
      </c>
    </row>
    <row r="1534" spans="1:4" x14ac:dyDescent="0.25">
      <c r="A1534" s="1">
        <f t="shared" si="28"/>
        <v>0</v>
      </c>
      <c r="B1534" s="1" t="s">
        <v>12</v>
      </c>
      <c r="C1534" s="1">
        <v>140</v>
      </c>
      <c r="D1534" s="1">
        <v>4</v>
      </c>
    </row>
    <row r="1535" spans="1:4" x14ac:dyDescent="0.25">
      <c r="A1535" s="1">
        <f t="shared" si="28"/>
        <v>0</v>
      </c>
      <c r="B1535" s="1" t="s">
        <v>26</v>
      </c>
      <c r="C1535" s="1">
        <v>37.5</v>
      </c>
      <c r="D1535" s="1">
        <v>1</v>
      </c>
    </row>
    <row r="1536" spans="1:4" x14ac:dyDescent="0.25">
      <c r="A1536" s="1">
        <f t="shared" si="28"/>
        <v>0</v>
      </c>
      <c r="B1536" s="1" t="s">
        <v>27</v>
      </c>
      <c r="C1536" s="1">
        <v>38.4</v>
      </c>
      <c r="D1536" s="1">
        <v>1</v>
      </c>
    </row>
    <row r="1537" spans="1:4" x14ac:dyDescent="0.25">
      <c r="A1537" s="1">
        <f t="shared" si="28"/>
        <v>0</v>
      </c>
      <c r="B1537" s="1" t="s">
        <v>16</v>
      </c>
      <c r="C1537" s="1">
        <v>70.400000000000006</v>
      </c>
      <c r="D1537" s="1">
        <v>2</v>
      </c>
    </row>
    <row r="1538" spans="1:4" x14ac:dyDescent="0.25">
      <c r="A1538" s="1">
        <f t="shared" ref="A1538:A1601" si="29">IF(COUNTIF($V$3:$Y$99, $B1538)&lt;&gt;0, ROW($B1538), 0)</f>
        <v>0</v>
      </c>
      <c r="B1538" s="1" t="s">
        <v>40</v>
      </c>
      <c r="C1538" s="1">
        <v>219.2</v>
      </c>
      <c r="D1538" s="1">
        <v>4</v>
      </c>
    </row>
    <row r="1539" spans="1:4" x14ac:dyDescent="0.25">
      <c r="A1539" s="1">
        <f t="shared" si="29"/>
        <v>0</v>
      </c>
      <c r="B1539" s="1" t="s">
        <v>54</v>
      </c>
      <c r="C1539" s="1">
        <v>76.8</v>
      </c>
      <c r="D1539" s="1">
        <v>2</v>
      </c>
    </row>
    <row r="1540" spans="1:4" x14ac:dyDescent="0.25">
      <c r="A1540" s="1">
        <f t="shared" si="29"/>
        <v>0</v>
      </c>
      <c r="B1540" s="1" t="s">
        <v>22</v>
      </c>
      <c r="C1540" s="1">
        <v>54.8</v>
      </c>
      <c r="D1540" s="1">
        <v>1</v>
      </c>
    </row>
    <row r="1541" spans="1:4" x14ac:dyDescent="0.25">
      <c r="A1541" s="1">
        <f t="shared" si="29"/>
        <v>0</v>
      </c>
      <c r="B1541" s="1" t="s">
        <v>68</v>
      </c>
      <c r="C1541" s="1">
        <v>28.75</v>
      </c>
      <c r="D1541" s="1">
        <v>1</v>
      </c>
    </row>
    <row r="1542" spans="1:4" x14ac:dyDescent="0.25">
      <c r="A1542" s="1">
        <f t="shared" si="29"/>
        <v>1542</v>
      </c>
      <c r="B1542" s="1" t="s">
        <v>128</v>
      </c>
    </row>
    <row r="1543" spans="1:4" x14ac:dyDescent="0.25">
      <c r="A1543" s="1">
        <f t="shared" si="29"/>
        <v>0</v>
      </c>
      <c r="B1543" s="1" t="s">
        <v>1</v>
      </c>
      <c r="C1543" s="1">
        <v>22</v>
      </c>
    </row>
    <row r="1544" spans="1:4" x14ac:dyDescent="0.25">
      <c r="A1544" s="1">
        <f t="shared" si="29"/>
        <v>0</v>
      </c>
      <c r="B1544" s="1" t="s">
        <v>2</v>
      </c>
      <c r="C1544" s="1">
        <v>853.7</v>
      </c>
    </row>
    <row r="1545" spans="1:4" x14ac:dyDescent="0.25">
      <c r="A1545" s="1">
        <f t="shared" si="29"/>
        <v>0</v>
      </c>
      <c r="B1545" s="1" t="s">
        <v>3</v>
      </c>
      <c r="C1545" s="1" t="s">
        <v>4</v>
      </c>
      <c r="D1545" s="1" t="s">
        <v>5</v>
      </c>
    </row>
    <row r="1546" spans="1:4" x14ac:dyDescent="0.25">
      <c r="A1546" s="1">
        <f t="shared" si="29"/>
        <v>0</v>
      </c>
      <c r="B1546" s="1" t="s">
        <v>20</v>
      </c>
      <c r="C1546" s="1">
        <v>76.8</v>
      </c>
      <c r="D1546" s="1">
        <v>2</v>
      </c>
    </row>
    <row r="1547" spans="1:4" x14ac:dyDescent="0.25">
      <c r="A1547" s="1">
        <f t="shared" si="29"/>
        <v>0</v>
      </c>
      <c r="B1547" s="1" t="s">
        <v>19</v>
      </c>
      <c r="C1547" s="1">
        <v>28.75</v>
      </c>
      <c r="D1547" s="1">
        <v>1</v>
      </c>
    </row>
    <row r="1548" spans="1:4" x14ac:dyDescent="0.25">
      <c r="A1548" s="1">
        <f t="shared" si="29"/>
        <v>0</v>
      </c>
      <c r="B1548" s="1" t="s">
        <v>74</v>
      </c>
      <c r="C1548" s="1">
        <v>74</v>
      </c>
      <c r="D1548" s="1">
        <v>1</v>
      </c>
    </row>
    <row r="1549" spans="1:4" x14ac:dyDescent="0.25">
      <c r="A1549" s="1">
        <f t="shared" si="29"/>
        <v>0</v>
      </c>
      <c r="B1549" s="1" t="s">
        <v>14</v>
      </c>
      <c r="C1549" s="1">
        <v>28.75</v>
      </c>
      <c r="D1549" s="1">
        <v>1</v>
      </c>
    </row>
    <row r="1550" spans="1:4" x14ac:dyDescent="0.25">
      <c r="A1550" s="1">
        <f t="shared" si="29"/>
        <v>0</v>
      </c>
      <c r="B1550" s="1" t="s">
        <v>26</v>
      </c>
      <c r="C1550" s="1">
        <v>37.5</v>
      </c>
      <c r="D1550" s="1">
        <v>1</v>
      </c>
    </row>
    <row r="1551" spans="1:4" x14ac:dyDescent="0.25">
      <c r="A1551" s="1">
        <f t="shared" si="29"/>
        <v>0</v>
      </c>
      <c r="B1551" s="1" t="s">
        <v>49</v>
      </c>
      <c r="C1551" s="1">
        <v>40</v>
      </c>
      <c r="D1551" s="1">
        <v>1</v>
      </c>
    </row>
    <row r="1552" spans="1:4" x14ac:dyDescent="0.25">
      <c r="A1552" s="1">
        <f t="shared" si="29"/>
        <v>0</v>
      </c>
      <c r="B1552" s="1" t="s">
        <v>71</v>
      </c>
      <c r="C1552" s="1">
        <v>40</v>
      </c>
      <c r="D1552" s="1">
        <v>1</v>
      </c>
    </row>
    <row r="1553" spans="1:4" x14ac:dyDescent="0.25">
      <c r="A1553" s="1">
        <f t="shared" si="29"/>
        <v>0</v>
      </c>
      <c r="B1553" s="1" t="s">
        <v>56</v>
      </c>
      <c r="C1553" s="1">
        <v>115.2</v>
      </c>
      <c r="D1553" s="1">
        <v>3</v>
      </c>
    </row>
    <row r="1554" spans="1:4" x14ac:dyDescent="0.25">
      <c r="A1554" s="1">
        <f t="shared" si="29"/>
        <v>0</v>
      </c>
      <c r="B1554" s="1" t="s">
        <v>18</v>
      </c>
      <c r="C1554" s="1">
        <v>115.2</v>
      </c>
      <c r="D1554" s="1">
        <v>3</v>
      </c>
    </row>
    <row r="1555" spans="1:4" x14ac:dyDescent="0.25">
      <c r="A1555" s="1">
        <f t="shared" si="29"/>
        <v>0</v>
      </c>
      <c r="B1555" s="1" t="s">
        <v>12</v>
      </c>
      <c r="C1555" s="1">
        <v>70</v>
      </c>
      <c r="D1555" s="1">
        <v>2</v>
      </c>
    </row>
    <row r="1556" spans="1:4" x14ac:dyDescent="0.25">
      <c r="A1556" s="1">
        <f t="shared" si="29"/>
        <v>0</v>
      </c>
      <c r="B1556" s="1" t="s">
        <v>54</v>
      </c>
      <c r="C1556" s="1">
        <v>38.4</v>
      </c>
      <c r="D1556" s="1">
        <v>1</v>
      </c>
    </row>
    <row r="1557" spans="1:4" x14ac:dyDescent="0.25">
      <c r="A1557" s="1">
        <f t="shared" si="29"/>
        <v>0</v>
      </c>
      <c r="B1557" s="1" t="s">
        <v>43</v>
      </c>
      <c r="C1557" s="1">
        <v>28.75</v>
      </c>
      <c r="D1557" s="1">
        <v>1</v>
      </c>
    </row>
    <row r="1558" spans="1:4" x14ac:dyDescent="0.25">
      <c r="A1558" s="1">
        <f t="shared" si="29"/>
        <v>0</v>
      </c>
      <c r="B1558" s="1" t="s">
        <v>40</v>
      </c>
      <c r="C1558" s="1">
        <v>54.8</v>
      </c>
      <c r="D1558" s="1">
        <v>1</v>
      </c>
    </row>
    <row r="1559" spans="1:4" x14ac:dyDescent="0.25">
      <c r="A1559" s="1">
        <f t="shared" si="29"/>
        <v>0</v>
      </c>
      <c r="B1559" s="1" t="s">
        <v>41</v>
      </c>
      <c r="C1559" s="1">
        <v>28.75</v>
      </c>
      <c r="D1559" s="1">
        <v>1</v>
      </c>
    </row>
    <row r="1560" spans="1:4" x14ac:dyDescent="0.25">
      <c r="A1560" s="1">
        <f t="shared" si="29"/>
        <v>0</v>
      </c>
      <c r="B1560" s="1" t="s">
        <v>62</v>
      </c>
      <c r="C1560" s="1">
        <v>76.8</v>
      </c>
      <c r="D1560" s="1">
        <v>2</v>
      </c>
    </row>
    <row r="1561" spans="1:4" x14ac:dyDescent="0.25">
      <c r="A1561" s="1">
        <f t="shared" si="29"/>
        <v>1561</v>
      </c>
      <c r="B1561" s="1" t="s">
        <v>129</v>
      </c>
    </row>
    <row r="1562" spans="1:4" x14ac:dyDescent="0.25">
      <c r="A1562" s="1">
        <f t="shared" si="29"/>
        <v>0</v>
      </c>
      <c r="B1562" s="1" t="s">
        <v>1</v>
      </c>
      <c r="C1562" s="1">
        <v>33</v>
      </c>
    </row>
    <row r="1563" spans="1:4" x14ac:dyDescent="0.25">
      <c r="A1563" s="1">
        <f t="shared" si="29"/>
        <v>0</v>
      </c>
      <c r="B1563" s="1" t="s">
        <v>2</v>
      </c>
      <c r="C1563" s="1">
        <v>1461.39</v>
      </c>
    </row>
    <row r="1564" spans="1:4" x14ac:dyDescent="0.25">
      <c r="A1564" s="1">
        <f t="shared" si="29"/>
        <v>0</v>
      </c>
      <c r="B1564" s="1" t="s">
        <v>3</v>
      </c>
      <c r="C1564" s="1" t="s">
        <v>4</v>
      </c>
      <c r="D1564" s="1" t="s">
        <v>5</v>
      </c>
    </row>
    <row r="1565" spans="1:4" x14ac:dyDescent="0.25">
      <c r="A1565" s="1">
        <f t="shared" si="29"/>
        <v>0</v>
      </c>
      <c r="B1565" s="1" t="s">
        <v>10</v>
      </c>
      <c r="C1565" s="1">
        <v>38.4</v>
      </c>
      <c r="D1565" s="1">
        <v>1</v>
      </c>
    </row>
    <row r="1566" spans="1:4" x14ac:dyDescent="0.25">
      <c r="A1566" s="1">
        <f t="shared" si="29"/>
        <v>0</v>
      </c>
      <c r="B1566" s="1" t="s">
        <v>17</v>
      </c>
      <c r="C1566" s="1">
        <v>76.8</v>
      </c>
      <c r="D1566" s="1">
        <v>2</v>
      </c>
    </row>
    <row r="1567" spans="1:4" x14ac:dyDescent="0.25">
      <c r="A1567" s="1">
        <f t="shared" si="29"/>
        <v>0</v>
      </c>
      <c r="B1567" s="1" t="s">
        <v>8</v>
      </c>
      <c r="C1567" s="1">
        <v>274</v>
      </c>
      <c r="D1567" s="1">
        <v>5</v>
      </c>
    </row>
    <row r="1568" spans="1:4" x14ac:dyDescent="0.25">
      <c r="A1568" s="1">
        <f t="shared" si="29"/>
        <v>0</v>
      </c>
      <c r="B1568" s="1" t="s">
        <v>30</v>
      </c>
      <c r="C1568" s="1">
        <v>15.99</v>
      </c>
      <c r="D1568" s="1">
        <v>1</v>
      </c>
    </row>
    <row r="1569" spans="1:4" x14ac:dyDescent="0.25">
      <c r="A1569" s="1">
        <f t="shared" si="29"/>
        <v>0</v>
      </c>
      <c r="B1569" s="1" t="s">
        <v>12</v>
      </c>
      <c r="C1569" s="1">
        <v>70</v>
      </c>
      <c r="D1569" s="1">
        <v>2</v>
      </c>
    </row>
    <row r="1570" spans="1:4" x14ac:dyDescent="0.25">
      <c r="A1570" s="1">
        <f t="shared" si="29"/>
        <v>0</v>
      </c>
      <c r="B1570" s="1" t="s">
        <v>14</v>
      </c>
      <c r="C1570" s="1">
        <v>57.5</v>
      </c>
      <c r="D1570" s="1">
        <v>2</v>
      </c>
    </row>
    <row r="1571" spans="1:4" x14ac:dyDescent="0.25">
      <c r="A1571" s="1">
        <f t="shared" si="29"/>
        <v>0</v>
      </c>
      <c r="B1571" s="1" t="s">
        <v>15</v>
      </c>
      <c r="C1571" s="1">
        <v>204</v>
      </c>
      <c r="D1571" s="1">
        <v>3</v>
      </c>
    </row>
    <row r="1572" spans="1:4" x14ac:dyDescent="0.25">
      <c r="A1572" s="1">
        <f t="shared" si="29"/>
        <v>0</v>
      </c>
      <c r="B1572" s="1" t="s">
        <v>21</v>
      </c>
      <c r="C1572" s="1">
        <v>54.8</v>
      </c>
      <c r="D1572" s="1">
        <v>1</v>
      </c>
    </row>
    <row r="1573" spans="1:4" x14ac:dyDescent="0.25">
      <c r="A1573" s="1">
        <f t="shared" si="29"/>
        <v>0</v>
      </c>
      <c r="B1573" s="1" t="s">
        <v>40</v>
      </c>
      <c r="C1573" s="1">
        <v>109.6</v>
      </c>
      <c r="D1573" s="1">
        <v>2</v>
      </c>
    </row>
    <row r="1574" spans="1:4" x14ac:dyDescent="0.25">
      <c r="A1574" s="1">
        <f t="shared" si="29"/>
        <v>0</v>
      </c>
      <c r="B1574" s="1" t="s">
        <v>9</v>
      </c>
      <c r="C1574" s="1">
        <v>54.8</v>
      </c>
      <c r="D1574" s="1">
        <v>1</v>
      </c>
    </row>
    <row r="1575" spans="1:4" x14ac:dyDescent="0.25">
      <c r="A1575" s="1">
        <f t="shared" si="29"/>
        <v>0</v>
      </c>
      <c r="B1575" s="1" t="s">
        <v>18</v>
      </c>
      <c r="C1575" s="1">
        <v>76.8</v>
      </c>
      <c r="D1575" s="1">
        <v>2</v>
      </c>
    </row>
    <row r="1576" spans="1:4" x14ac:dyDescent="0.25">
      <c r="A1576" s="1">
        <f t="shared" si="29"/>
        <v>0</v>
      </c>
      <c r="B1576" s="1" t="s">
        <v>49</v>
      </c>
      <c r="C1576" s="1">
        <v>40</v>
      </c>
      <c r="D1576" s="1">
        <v>1</v>
      </c>
    </row>
    <row r="1577" spans="1:4" x14ac:dyDescent="0.25">
      <c r="A1577" s="1">
        <f t="shared" si="29"/>
        <v>0</v>
      </c>
      <c r="B1577" s="1" t="s">
        <v>19</v>
      </c>
      <c r="C1577" s="1">
        <v>28.75</v>
      </c>
      <c r="D1577" s="1">
        <v>1</v>
      </c>
    </row>
    <row r="1578" spans="1:4" x14ac:dyDescent="0.25">
      <c r="A1578" s="1">
        <f t="shared" si="29"/>
        <v>0</v>
      </c>
      <c r="B1578" s="1" t="s">
        <v>20</v>
      </c>
      <c r="C1578" s="1">
        <v>115.2</v>
      </c>
      <c r="D1578" s="1">
        <v>3</v>
      </c>
    </row>
    <row r="1579" spans="1:4" x14ac:dyDescent="0.25">
      <c r="A1579" s="1">
        <f t="shared" si="29"/>
        <v>0</v>
      </c>
      <c r="B1579" s="1" t="s">
        <v>13</v>
      </c>
      <c r="C1579" s="1">
        <v>38.4</v>
      </c>
      <c r="D1579" s="1">
        <v>1</v>
      </c>
    </row>
    <row r="1580" spans="1:4" x14ac:dyDescent="0.25">
      <c r="A1580" s="1">
        <f t="shared" si="29"/>
        <v>0</v>
      </c>
      <c r="B1580" s="1" t="s">
        <v>25</v>
      </c>
      <c r="C1580" s="1">
        <v>40</v>
      </c>
      <c r="D1580" s="1">
        <v>1</v>
      </c>
    </row>
    <row r="1581" spans="1:4" x14ac:dyDescent="0.25">
      <c r="A1581" s="1">
        <f t="shared" si="29"/>
        <v>0</v>
      </c>
      <c r="B1581" s="1" t="s">
        <v>44</v>
      </c>
      <c r="C1581" s="1">
        <v>38.4</v>
      </c>
      <c r="D1581" s="1">
        <v>1</v>
      </c>
    </row>
    <row r="1582" spans="1:4" x14ac:dyDescent="0.25">
      <c r="A1582" s="1">
        <f t="shared" si="29"/>
        <v>0</v>
      </c>
      <c r="B1582" s="1" t="s">
        <v>52</v>
      </c>
      <c r="C1582" s="1">
        <v>64</v>
      </c>
      <c r="D1582" s="1">
        <v>1</v>
      </c>
    </row>
    <row r="1583" spans="1:4" x14ac:dyDescent="0.25">
      <c r="A1583" s="1">
        <f t="shared" si="29"/>
        <v>0</v>
      </c>
      <c r="B1583" s="1" t="s">
        <v>45</v>
      </c>
      <c r="C1583" s="1">
        <v>28.75</v>
      </c>
      <c r="D1583" s="1">
        <v>1</v>
      </c>
    </row>
    <row r="1584" spans="1:4" x14ac:dyDescent="0.25">
      <c r="A1584" s="1">
        <f t="shared" si="29"/>
        <v>0</v>
      </c>
      <c r="B1584" s="1" t="s">
        <v>16</v>
      </c>
      <c r="C1584" s="1">
        <v>35.200000000000003</v>
      </c>
      <c r="D1584" s="1">
        <v>1</v>
      </c>
    </row>
    <row r="1585" spans="1:4" x14ac:dyDescent="0.25">
      <c r="A1585" s="1">
        <f t="shared" si="29"/>
        <v>1585</v>
      </c>
      <c r="B1585" s="1" t="s">
        <v>130</v>
      </c>
    </row>
    <row r="1586" spans="1:4" x14ac:dyDescent="0.25">
      <c r="A1586" s="1">
        <f t="shared" si="29"/>
        <v>0</v>
      </c>
      <c r="B1586" s="1" t="s">
        <v>1</v>
      </c>
      <c r="C1586" s="1">
        <v>57</v>
      </c>
    </row>
    <row r="1587" spans="1:4" x14ac:dyDescent="0.25">
      <c r="A1587" s="1">
        <f t="shared" si="29"/>
        <v>0</v>
      </c>
      <c r="B1587" s="1" t="s">
        <v>2</v>
      </c>
      <c r="C1587" s="1">
        <v>2285.34</v>
      </c>
    </row>
    <row r="1588" spans="1:4" x14ac:dyDescent="0.25">
      <c r="A1588" s="1">
        <f t="shared" si="29"/>
        <v>0</v>
      </c>
      <c r="B1588" s="1" t="s">
        <v>3</v>
      </c>
      <c r="C1588" s="1" t="s">
        <v>4</v>
      </c>
      <c r="D1588" s="1" t="s">
        <v>5</v>
      </c>
    </row>
    <row r="1589" spans="1:4" x14ac:dyDescent="0.25">
      <c r="A1589" s="1">
        <f t="shared" si="29"/>
        <v>0</v>
      </c>
      <c r="B1589" s="1" t="s">
        <v>8</v>
      </c>
      <c r="C1589" s="1">
        <v>383.6</v>
      </c>
      <c r="D1589" s="1">
        <v>7</v>
      </c>
    </row>
    <row r="1590" spans="1:4" x14ac:dyDescent="0.25">
      <c r="A1590" s="1">
        <f t="shared" si="29"/>
        <v>0</v>
      </c>
      <c r="B1590" s="1" t="s">
        <v>21</v>
      </c>
      <c r="C1590" s="1">
        <v>54.8</v>
      </c>
      <c r="D1590" s="1">
        <v>1</v>
      </c>
    </row>
    <row r="1591" spans="1:4" x14ac:dyDescent="0.25">
      <c r="A1591" s="1">
        <f t="shared" si="29"/>
        <v>0</v>
      </c>
      <c r="B1591" s="1" t="s">
        <v>22</v>
      </c>
      <c r="C1591" s="1">
        <v>109.6</v>
      </c>
      <c r="D1591" s="1">
        <v>2</v>
      </c>
    </row>
    <row r="1592" spans="1:4" x14ac:dyDescent="0.25">
      <c r="A1592" s="1">
        <f t="shared" si="29"/>
        <v>0</v>
      </c>
      <c r="B1592" s="1" t="s">
        <v>17</v>
      </c>
      <c r="C1592" s="1">
        <v>38.4</v>
      </c>
      <c r="D1592" s="1">
        <v>1</v>
      </c>
    </row>
    <row r="1593" spans="1:4" x14ac:dyDescent="0.25">
      <c r="A1593" s="1">
        <f t="shared" si="29"/>
        <v>0</v>
      </c>
      <c r="B1593" s="1" t="s">
        <v>49</v>
      </c>
      <c r="C1593" s="1">
        <v>160</v>
      </c>
      <c r="D1593" s="1">
        <v>4</v>
      </c>
    </row>
    <row r="1594" spans="1:4" x14ac:dyDescent="0.25">
      <c r="A1594" s="1">
        <f t="shared" si="29"/>
        <v>0</v>
      </c>
      <c r="B1594" s="1" t="s">
        <v>20</v>
      </c>
      <c r="C1594" s="1">
        <v>345.6</v>
      </c>
      <c r="D1594" s="1">
        <v>10</v>
      </c>
    </row>
    <row r="1595" spans="1:4" x14ac:dyDescent="0.25">
      <c r="A1595" s="1">
        <f t="shared" si="29"/>
        <v>0</v>
      </c>
      <c r="B1595" s="1" t="s">
        <v>16</v>
      </c>
      <c r="C1595" s="1">
        <v>105.6</v>
      </c>
      <c r="D1595" s="1">
        <v>3</v>
      </c>
    </row>
    <row r="1596" spans="1:4" x14ac:dyDescent="0.25">
      <c r="A1596" s="1">
        <f t="shared" si="29"/>
        <v>0</v>
      </c>
      <c r="B1596" s="1" t="s">
        <v>14</v>
      </c>
      <c r="C1596" s="1">
        <v>28.75</v>
      </c>
      <c r="D1596" s="1">
        <v>1</v>
      </c>
    </row>
    <row r="1597" spans="1:4" x14ac:dyDescent="0.25">
      <c r="A1597" s="1">
        <f t="shared" si="29"/>
        <v>0</v>
      </c>
      <c r="B1597" s="1" t="s">
        <v>12</v>
      </c>
      <c r="C1597" s="1">
        <v>175</v>
      </c>
      <c r="D1597" s="1">
        <v>5</v>
      </c>
    </row>
    <row r="1598" spans="1:4" x14ac:dyDescent="0.25">
      <c r="A1598" s="1">
        <f t="shared" si="29"/>
        <v>0</v>
      </c>
      <c r="B1598" s="1" t="s">
        <v>9</v>
      </c>
      <c r="C1598" s="1">
        <v>54.8</v>
      </c>
      <c r="D1598" s="1">
        <v>1</v>
      </c>
    </row>
    <row r="1599" spans="1:4" x14ac:dyDescent="0.25">
      <c r="A1599" s="1">
        <f t="shared" si="29"/>
        <v>0</v>
      </c>
      <c r="B1599" s="1" t="s">
        <v>13</v>
      </c>
      <c r="C1599" s="1">
        <v>76.8</v>
      </c>
      <c r="D1599" s="1">
        <v>2</v>
      </c>
    </row>
    <row r="1600" spans="1:4" x14ac:dyDescent="0.25">
      <c r="A1600" s="1">
        <f t="shared" si="29"/>
        <v>0</v>
      </c>
      <c r="B1600" s="1" t="s">
        <v>40</v>
      </c>
      <c r="C1600" s="1">
        <v>109.6</v>
      </c>
      <c r="D1600" s="1">
        <v>2</v>
      </c>
    </row>
    <row r="1601" spans="1:4" x14ac:dyDescent="0.25">
      <c r="A1601" s="1">
        <f t="shared" si="29"/>
        <v>0</v>
      </c>
      <c r="B1601" s="1" t="s">
        <v>29</v>
      </c>
      <c r="C1601" s="1">
        <v>38.4</v>
      </c>
      <c r="D1601" s="1">
        <v>1</v>
      </c>
    </row>
    <row r="1602" spans="1:4" x14ac:dyDescent="0.25">
      <c r="A1602" s="1">
        <f t="shared" ref="A1602:A1665" si="30">IF(COUNTIF($V$3:$Y$99, $B1602)&lt;&gt;0, ROW($B1602), 0)</f>
        <v>0</v>
      </c>
      <c r="B1602" s="1" t="s">
        <v>51</v>
      </c>
      <c r="C1602" s="1">
        <v>38.4</v>
      </c>
      <c r="D1602" s="1">
        <v>1</v>
      </c>
    </row>
    <row r="1603" spans="1:4" x14ac:dyDescent="0.25">
      <c r="A1603" s="1">
        <f t="shared" si="30"/>
        <v>0</v>
      </c>
      <c r="B1603" s="1" t="s">
        <v>33</v>
      </c>
      <c r="C1603" s="1">
        <v>40</v>
      </c>
      <c r="D1603" s="1">
        <v>1</v>
      </c>
    </row>
    <row r="1604" spans="1:4" x14ac:dyDescent="0.25">
      <c r="A1604" s="1">
        <f t="shared" si="30"/>
        <v>0</v>
      </c>
      <c r="B1604" s="1" t="s">
        <v>15</v>
      </c>
      <c r="C1604" s="1">
        <v>340</v>
      </c>
      <c r="D1604" s="1">
        <v>10</v>
      </c>
    </row>
    <row r="1605" spans="1:4" x14ac:dyDescent="0.25">
      <c r="A1605" s="1">
        <f t="shared" si="30"/>
        <v>0</v>
      </c>
      <c r="B1605" s="1" t="s">
        <v>18</v>
      </c>
      <c r="C1605" s="1">
        <v>115.2</v>
      </c>
      <c r="D1605" s="1">
        <v>3</v>
      </c>
    </row>
    <row r="1606" spans="1:4" x14ac:dyDescent="0.25">
      <c r="A1606" s="1">
        <f t="shared" si="30"/>
        <v>0</v>
      </c>
      <c r="B1606" s="1" t="s">
        <v>30</v>
      </c>
      <c r="C1606" s="1">
        <v>15.99</v>
      </c>
      <c r="D1606" s="1">
        <v>1</v>
      </c>
    </row>
    <row r="1607" spans="1:4" x14ac:dyDescent="0.25">
      <c r="A1607" s="1">
        <f t="shared" si="30"/>
        <v>0</v>
      </c>
      <c r="B1607" s="1" t="s">
        <v>6</v>
      </c>
      <c r="C1607" s="1">
        <v>54.8</v>
      </c>
      <c r="D1607" s="1">
        <v>1</v>
      </c>
    </row>
    <row r="1608" spans="1:4" x14ac:dyDescent="0.25">
      <c r="A1608" s="1">
        <f t="shared" si="30"/>
        <v>0</v>
      </c>
      <c r="B1608" s="1" t="s">
        <v>131</v>
      </c>
    </row>
    <row r="1609" spans="1:4" x14ac:dyDescent="0.25">
      <c r="A1609" s="1">
        <f t="shared" si="30"/>
        <v>0</v>
      </c>
      <c r="B1609" s="1" t="s">
        <v>1</v>
      </c>
      <c r="C1609" s="1">
        <v>46</v>
      </c>
    </row>
    <row r="1610" spans="1:4" x14ac:dyDescent="0.25">
      <c r="A1610" s="1">
        <f t="shared" si="30"/>
        <v>0</v>
      </c>
      <c r="B1610" s="1" t="s">
        <v>2</v>
      </c>
      <c r="C1610" s="1">
        <v>1930.2</v>
      </c>
    </row>
    <row r="1611" spans="1:4" x14ac:dyDescent="0.25">
      <c r="A1611" s="1">
        <f t="shared" si="30"/>
        <v>0</v>
      </c>
      <c r="B1611" s="1" t="s">
        <v>3</v>
      </c>
      <c r="C1611" s="1" t="s">
        <v>4</v>
      </c>
      <c r="D1611" s="1" t="s">
        <v>5</v>
      </c>
    </row>
    <row r="1612" spans="1:4" x14ac:dyDescent="0.25">
      <c r="A1612" s="1">
        <f t="shared" si="30"/>
        <v>0</v>
      </c>
      <c r="B1612" s="1" t="s">
        <v>10</v>
      </c>
      <c r="C1612" s="1">
        <v>38.4</v>
      </c>
      <c r="D1612" s="1">
        <v>1</v>
      </c>
    </row>
    <row r="1613" spans="1:4" x14ac:dyDescent="0.25">
      <c r="A1613" s="1">
        <f t="shared" si="30"/>
        <v>0</v>
      </c>
      <c r="B1613" s="1" t="s">
        <v>26</v>
      </c>
      <c r="C1613" s="1">
        <v>37.5</v>
      </c>
      <c r="D1613" s="1">
        <v>1</v>
      </c>
    </row>
    <row r="1614" spans="1:4" x14ac:dyDescent="0.25">
      <c r="A1614" s="1">
        <f t="shared" si="30"/>
        <v>0</v>
      </c>
      <c r="B1614" s="1" t="s">
        <v>40</v>
      </c>
      <c r="C1614" s="1">
        <v>164.4</v>
      </c>
      <c r="D1614" s="1">
        <v>3</v>
      </c>
    </row>
    <row r="1615" spans="1:4" x14ac:dyDescent="0.25">
      <c r="A1615" s="1">
        <f t="shared" si="30"/>
        <v>0</v>
      </c>
      <c r="B1615" s="1" t="s">
        <v>17</v>
      </c>
      <c r="C1615" s="1">
        <v>230.4</v>
      </c>
      <c r="D1615" s="1">
        <v>6</v>
      </c>
    </row>
    <row r="1616" spans="1:4" x14ac:dyDescent="0.25">
      <c r="A1616" s="1">
        <f t="shared" si="30"/>
        <v>0</v>
      </c>
      <c r="B1616" s="1" t="s">
        <v>20</v>
      </c>
      <c r="C1616" s="1">
        <v>230.4</v>
      </c>
      <c r="D1616" s="1">
        <v>6</v>
      </c>
    </row>
    <row r="1617" spans="1:4" x14ac:dyDescent="0.25">
      <c r="A1617" s="1">
        <f t="shared" si="30"/>
        <v>0</v>
      </c>
      <c r="B1617" s="1" t="s">
        <v>15</v>
      </c>
      <c r="C1617" s="1">
        <v>68</v>
      </c>
      <c r="D1617" s="1">
        <v>1</v>
      </c>
    </row>
    <row r="1618" spans="1:4" x14ac:dyDescent="0.25">
      <c r="A1618" s="1">
        <f t="shared" si="30"/>
        <v>0</v>
      </c>
      <c r="B1618" s="1" t="s">
        <v>18</v>
      </c>
      <c r="C1618" s="1">
        <v>268.8</v>
      </c>
      <c r="D1618" s="1">
        <v>7</v>
      </c>
    </row>
    <row r="1619" spans="1:4" x14ac:dyDescent="0.25">
      <c r="A1619" s="1">
        <f t="shared" si="30"/>
        <v>0</v>
      </c>
      <c r="B1619" s="1" t="s">
        <v>8</v>
      </c>
      <c r="C1619" s="1">
        <v>164.4</v>
      </c>
      <c r="D1619" s="1">
        <v>3</v>
      </c>
    </row>
    <row r="1620" spans="1:4" x14ac:dyDescent="0.25">
      <c r="A1620" s="1">
        <f t="shared" si="30"/>
        <v>0</v>
      </c>
      <c r="B1620" s="1" t="s">
        <v>32</v>
      </c>
      <c r="C1620" s="1">
        <v>38.4</v>
      </c>
      <c r="D1620" s="1">
        <v>1</v>
      </c>
    </row>
    <row r="1621" spans="1:4" x14ac:dyDescent="0.25">
      <c r="A1621" s="1">
        <f t="shared" si="30"/>
        <v>0</v>
      </c>
      <c r="B1621" s="1" t="s">
        <v>14</v>
      </c>
      <c r="C1621" s="1">
        <v>28.75</v>
      </c>
      <c r="D1621" s="1">
        <v>1</v>
      </c>
    </row>
    <row r="1622" spans="1:4" x14ac:dyDescent="0.25">
      <c r="A1622" s="1">
        <f t="shared" si="30"/>
        <v>0</v>
      </c>
      <c r="B1622" s="1" t="s">
        <v>12</v>
      </c>
      <c r="C1622" s="1">
        <v>210</v>
      </c>
      <c r="D1622" s="1">
        <v>6</v>
      </c>
    </row>
    <row r="1623" spans="1:4" x14ac:dyDescent="0.25">
      <c r="A1623" s="1">
        <f t="shared" si="30"/>
        <v>0</v>
      </c>
      <c r="B1623" s="1" t="s">
        <v>21</v>
      </c>
      <c r="C1623" s="1">
        <v>164.4</v>
      </c>
      <c r="D1623" s="1">
        <v>3</v>
      </c>
    </row>
    <row r="1624" spans="1:4" x14ac:dyDescent="0.25">
      <c r="A1624" s="1">
        <f t="shared" si="30"/>
        <v>0</v>
      </c>
      <c r="B1624" s="1" t="s">
        <v>36</v>
      </c>
      <c r="C1624" s="1">
        <v>38.4</v>
      </c>
      <c r="D1624" s="1">
        <v>1</v>
      </c>
    </row>
    <row r="1625" spans="1:4" x14ac:dyDescent="0.25">
      <c r="A1625" s="1">
        <f t="shared" si="30"/>
        <v>0</v>
      </c>
      <c r="B1625" s="1" t="s">
        <v>41</v>
      </c>
      <c r="C1625" s="1">
        <v>28.75</v>
      </c>
      <c r="D1625" s="1">
        <v>1</v>
      </c>
    </row>
    <row r="1626" spans="1:4" x14ac:dyDescent="0.25">
      <c r="A1626" s="1">
        <f t="shared" si="30"/>
        <v>0</v>
      </c>
      <c r="B1626" s="1" t="s">
        <v>33</v>
      </c>
      <c r="C1626" s="1">
        <v>40</v>
      </c>
      <c r="D1626" s="1">
        <v>1</v>
      </c>
    </row>
    <row r="1627" spans="1:4" x14ac:dyDescent="0.25">
      <c r="A1627" s="1">
        <f t="shared" si="30"/>
        <v>0</v>
      </c>
      <c r="B1627" s="1" t="s">
        <v>47</v>
      </c>
      <c r="C1627" s="1">
        <v>64</v>
      </c>
      <c r="D1627" s="1">
        <v>1</v>
      </c>
    </row>
    <row r="1628" spans="1:4" x14ac:dyDescent="0.25">
      <c r="A1628" s="1">
        <f t="shared" si="30"/>
        <v>0</v>
      </c>
      <c r="B1628" s="1" t="s">
        <v>27</v>
      </c>
      <c r="C1628" s="1">
        <v>38.4</v>
      </c>
      <c r="D1628" s="1">
        <v>1</v>
      </c>
    </row>
    <row r="1629" spans="1:4" x14ac:dyDescent="0.25">
      <c r="A1629" s="1">
        <f t="shared" si="30"/>
        <v>0</v>
      </c>
      <c r="B1629" s="1" t="s">
        <v>62</v>
      </c>
      <c r="C1629" s="1">
        <v>38.4</v>
      </c>
      <c r="D1629" s="1">
        <v>1</v>
      </c>
    </row>
    <row r="1630" spans="1:4" x14ac:dyDescent="0.25">
      <c r="A1630" s="1">
        <f t="shared" si="30"/>
        <v>0</v>
      </c>
      <c r="B1630" s="1" t="s">
        <v>13</v>
      </c>
      <c r="C1630" s="1">
        <v>38.4</v>
      </c>
      <c r="D1630" s="1">
        <v>1</v>
      </c>
    </row>
    <row r="1631" spans="1:4" x14ac:dyDescent="0.25">
      <c r="A1631" s="1">
        <f t="shared" si="30"/>
        <v>1631</v>
      </c>
      <c r="B1631" s="1" t="s">
        <v>132</v>
      </c>
    </row>
    <row r="1632" spans="1:4" x14ac:dyDescent="0.25">
      <c r="A1632" s="1">
        <f t="shared" si="30"/>
        <v>0</v>
      </c>
      <c r="B1632" s="1" t="s">
        <v>1</v>
      </c>
      <c r="C1632" s="1">
        <v>34</v>
      </c>
    </row>
    <row r="1633" spans="1:4" x14ac:dyDescent="0.25">
      <c r="A1633" s="1">
        <f t="shared" si="30"/>
        <v>0</v>
      </c>
      <c r="B1633" s="1" t="s">
        <v>2</v>
      </c>
      <c r="C1633" s="1">
        <v>1395.05</v>
      </c>
    </row>
    <row r="1634" spans="1:4" x14ac:dyDescent="0.25">
      <c r="A1634" s="1">
        <f t="shared" si="30"/>
        <v>0</v>
      </c>
      <c r="B1634" s="1" t="s">
        <v>3</v>
      </c>
      <c r="C1634" s="1" t="s">
        <v>4</v>
      </c>
      <c r="D1634" s="1" t="s">
        <v>5</v>
      </c>
    </row>
    <row r="1635" spans="1:4" x14ac:dyDescent="0.25">
      <c r="A1635" s="1">
        <f t="shared" si="30"/>
        <v>0</v>
      </c>
      <c r="B1635" s="1" t="s">
        <v>15</v>
      </c>
      <c r="C1635" s="1">
        <v>68</v>
      </c>
      <c r="D1635" s="1">
        <v>1</v>
      </c>
    </row>
    <row r="1636" spans="1:4" x14ac:dyDescent="0.25">
      <c r="A1636" s="1">
        <f t="shared" si="30"/>
        <v>0</v>
      </c>
      <c r="B1636" s="1" t="s">
        <v>8</v>
      </c>
      <c r="C1636" s="1">
        <v>164.4</v>
      </c>
      <c r="D1636" s="1">
        <v>3</v>
      </c>
    </row>
    <row r="1637" spans="1:4" x14ac:dyDescent="0.25">
      <c r="A1637" s="1">
        <f t="shared" si="30"/>
        <v>0</v>
      </c>
      <c r="B1637" s="1" t="s">
        <v>33</v>
      </c>
      <c r="C1637" s="1">
        <v>120</v>
      </c>
      <c r="D1637" s="1">
        <v>3</v>
      </c>
    </row>
    <row r="1638" spans="1:4" x14ac:dyDescent="0.25">
      <c r="A1638" s="1">
        <f t="shared" si="30"/>
        <v>0</v>
      </c>
      <c r="B1638" s="1" t="s">
        <v>21</v>
      </c>
      <c r="C1638" s="1">
        <v>54.8</v>
      </c>
      <c r="D1638" s="1">
        <v>1</v>
      </c>
    </row>
    <row r="1639" spans="1:4" x14ac:dyDescent="0.25">
      <c r="A1639" s="1">
        <f t="shared" si="30"/>
        <v>0</v>
      </c>
      <c r="B1639" s="1" t="s">
        <v>20</v>
      </c>
      <c r="C1639" s="1">
        <v>345.6</v>
      </c>
      <c r="D1639" s="1">
        <v>11</v>
      </c>
    </row>
    <row r="1640" spans="1:4" x14ac:dyDescent="0.25">
      <c r="A1640" s="1">
        <f t="shared" si="30"/>
        <v>0</v>
      </c>
      <c r="B1640" s="1" t="s">
        <v>50</v>
      </c>
      <c r="C1640" s="1">
        <v>42.5</v>
      </c>
      <c r="D1640" s="1">
        <v>1</v>
      </c>
    </row>
    <row r="1641" spans="1:4" x14ac:dyDescent="0.25">
      <c r="A1641" s="1">
        <f t="shared" si="30"/>
        <v>0</v>
      </c>
      <c r="B1641" s="1" t="s">
        <v>7</v>
      </c>
      <c r="C1641" s="1">
        <v>164.4</v>
      </c>
      <c r="D1641" s="1">
        <v>3</v>
      </c>
    </row>
    <row r="1642" spans="1:4" x14ac:dyDescent="0.25">
      <c r="A1642" s="1">
        <f t="shared" si="30"/>
        <v>0</v>
      </c>
      <c r="B1642" s="1" t="s">
        <v>12</v>
      </c>
      <c r="C1642" s="1">
        <v>105</v>
      </c>
      <c r="D1642" s="1">
        <v>3</v>
      </c>
    </row>
    <row r="1643" spans="1:4" x14ac:dyDescent="0.25">
      <c r="A1643" s="1">
        <f t="shared" si="30"/>
        <v>0</v>
      </c>
      <c r="B1643" s="1" t="s">
        <v>49</v>
      </c>
      <c r="C1643" s="1">
        <v>80</v>
      </c>
      <c r="D1643" s="1">
        <v>2</v>
      </c>
    </row>
    <row r="1644" spans="1:4" x14ac:dyDescent="0.25">
      <c r="A1644" s="1">
        <f t="shared" si="30"/>
        <v>0</v>
      </c>
      <c r="B1644" s="1" t="s">
        <v>16</v>
      </c>
      <c r="C1644" s="1">
        <v>35.200000000000003</v>
      </c>
      <c r="D1644" s="1">
        <v>1</v>
      </c>
    </row>
    <row r="1645" spans="1:4" x14ac:dyDescent="0.25">
      <c r="A1645" s="1">
        <f t="shared" si="30"/>
        <v>0</v>
      </c>
      <c r="B1645" s="1" t="s">
        <v>19</v>
      </c>
      <c r="C1645" s="1">
        <v>28.75</v>
      </c>
      <c r="D1645" s="1">
        <v>1</v>
      </c>
    </row>
    <row r="1646" spans="1:4" x14ac:dyDescent="0.25">
      <c r="A1646" s="1">
        <f t="shared" si="30"/>
        <v>0</v>
      </c>
      <c r="B1646" s="1" t="s">
        <v>54</v>
      </c>
      <c r="C1646" s="1">
        <v>38.4</v>
      </c>
      <c r="D1646" s="1">
        <v>1</v>
      </c>
    </row>
    <row r="1647" spans="1:4" x14ac:dyDescent="0.25">
      <c r="A1647" s="1">
        <f t="shared" si="30"/>
        <v>0</v>
      </c>
      <c r="B1647" s="1" t="s">
        <v>17</v>
      </c>
      <c r="C1647" s="1">
        <v>38.4</v>
      </c>
      <c r="D1647" s="1">
        <v>1</v>
      </c>
    </row>
    <row r="1648" spans="1:4" x14ac:dyDescent="0.25">
      <c r="A1648" s="1">
        <f t="shared" si="30"/>
        <v>0</v>
      </c>
      <c r="B1648" s="1" t="s">
        <v>40</v>
      </c>
      <c r="C1648" s="1">
        <v>109.6</v>
      </c>
      <c r="D1648" s="1">
        <v>2</v>
      </c>
    </row>
    <row r="1649" spans="1:4" x14ac:dyDescent="0.25">
      <c r="A1649" s="1">
        <f t="shared" si="30"/>
        <v>1649</v>
      </c>
      <c r="B1649" s="1" t="s">
        <v>133</v>
      </c>
    </row>
    <row r="1650" spans="1:4" x14ac:dyDescent="0.25">
      <c r="A1650" s="1">
        <f t="shared" si="30"/>
        <v>0</v>
      </c>
      <c r="B1650" s="1" t="s">
        <v>1</v>
      </c>
      <c r="C1650" s="1">
        <v>90</v>
      </c>
    </row>
    <row r="1651" spans="1:4" x14ac:dyDescent="0.25">
      <c r="A1651" s="1">
        <f t="shared" si="30"/>
        <v>0</v>
      </c>
      <c r="B1651" s="1" t="s">
        <v>2</v>
      </c>
      <c r="C1651" s="1">
        <v>3336.61</v>
      </c>
    </row>
    <row r="1652" spans="1:4" x14ac:dyDescent="0.25">
      <c r="A1652" s="1">
        <f t="shared" si="30"/>
        <v>0</v>
      </c>
      <c r="B1652" s="1" t="s">
        <v>3</v>
      </c>
      <c r="C1652" s="1" t="s">
        <v>4</v>
      </c>
      <c r="D1652" s="1" t="s">
        <v>5</v>
      </c>
    </row>
    <row r="1653" spans="1:4" x14ac:dyDescent="0.25">
      <c r="A1653" s="1">
        <f t="shared" si="30"/>
        <v>0</v>
      </c>
      <c r="B1653" s="1" t="s">
        <v>7</v>
      </c>
      <c r="C1653" s="1">
        <v>274</v>
      </c>
      <c r="D1653" s="1">
        <v>5</v>
      </c>
    </row>
    <row r="1654" spans="1:4" x14ac:dyDescent="0.25">
      <c r="A1654" s="1">
        <f t="shared" si="30"/>
        <v>0</v>
      </c>
      <c r="B1654" s="1" t="s">
        <v>8</v>
      </c>
      <c r="C1654" s="1">
        <v>383.6</v>
      </c>
      <c r="D1654" s="1">
        <v>7</v>
      </c>
    </row>
    <row r="1655" spans="1:4" x14ac:dyDescent="0.25">
      <c r="A1655" s="1">
        <f t="shared" si="30"/>
        <v>0</v>
      </c>
      <c r="B1655" s="1" t="s">
        <v>18</v>
      </c>
      <c r="C1655" s="1">
        <v>192</v>
      </c>
      <c r="D1655" s="1">
        <v>5</v>
      </c>
    </row>
    <row r="1656" spans="1:4" x14ac:dyDescent="0.25">
      <c r="A1656" s="1">
        <f t="shared" si="30"/>
        <v>0</v>
      </c>
      <c r="B1656" s="1" t="s">
        <v>20</v>
      </c>
      <c r="C1656" s="1">
        <v>614.4</v>
      </c>
      <c r="D1656" s="1">
        <v>19</v>
      </c>
    </row>
    <row r="1657" spans="1:4" x14ac:dyDescent="0.25">
      <c r="A1657" s="1">
        <f t="shared" si="30"/>
        <v>0</v>
      </c>
      <c r="B1657" s="1" t="s">
        <v>49</v>
      </c>
      <c r="C1657" s="1">
        <v>160</v>
      </c>
      <c r="D1657" s="1">
        <v>4</v>
      </c>
    </row>
    <row r="1658" spans="1:4" x14ac:dyDescent="0.25">
      <c r="A1658" s="1">
        <f t="shared" si="30"/>
        <v>0</v>
      </c>
      <c r="B1658" s="1" t="s">
        <v>10</v>
      </c>
      <c r="C1658" s="1">
        <v>38.4</v>
      </c>
      <c r="D1658" s="1">
        <v>1</v>
      </c>
    </row>
    <row r="1659" spans="1:4" x14ac:dyDescent="0.25">
      <c r="A1659" s="1">
        <f t="shared" si="30"/>
        <v>0</v>
      </c>
      <c r="B1659" s="1" t="s">
        <v>17</v>
      </c>
      <c r="C1659" s="1">
        <v>153.6</v>
      </c>
      <c r="D1659" s="1">
        <v>4</v>
      </c>
    </row>
    <row r="1660" spans="1:4" x14ac:dyDescent="0.25">
      <c r="A1660" s="1">
        <f t="shared" si="30"/>
        <v>0</v>
      </c>
      <c r="B1660" s="1" t="s">
        <v>12</v>
      </c>
      <c r="C1660" s="1">
        <v>175</v>
      </c>
      <c r="D1660" s="1">
        <v>5</v>
      </c>
    </row>
    <row r="1661" spans="1:4" x14ac:dyDescent="0.25">
      <c r="A1661" s="1">
        <f t="shared" si="30"/>
        <v>0</v>
      </c>
      <c r="B1661" s="1" t="s">
        <v>6</v>
      </c>
      <c r="C1661" s="1">
        <v>219.2</v>
      </c>
      <c r="D1661" s="1">
        <v>13</v>
      </c>
    </row>
    <row r="1662" spans="1:4" x14ac:dyDescent="0.25">
      <c r="A1662" s="1">
        <f t="shared" si="30"/>
        <v>0</v>
      </c>
      <c r="B1662" s="1" t="s">
        <v>32</v>
      </c>
      <c r="C1662" s="1">
        <v>115.2</v>
      </c>
      <c r="D1662" s="1">
        <v>5</v>
      </c>
    </row>
    <row r="1663" spans="1:4" x14ac:dyDescent="0.25">
      <c r="A1663" s="1">
        <f t="shared" si="30"/>
        <v>0</v>
      </c>
      <c r="B1663" s="1" t="s">
        <v>21</v>
      </c>
      <c r="C1663" s="1">
        <v>383.6</v>
      </c>
      <c r="D1663" s="1">
        <v>7</v>
      </c>
    </row>
    <row r="1664" spans="1:4" x14ac:dyDescent="0.25">
      <c r="A1664" s="1">
        <f t="shared" si="30"/>
        <v>0</v>
      </c>
      <c r="B1664" s="1" t="s">
        <v>22</v>
      </c>
      <c r="C1664" s="1">
        <v>54.8</v>
      </c>
      <c r="D1664" s="1">
        <v>1</v>
      </c>
    </row>
    <row r="1665" spans="1:4" x14ac:dyDescent="0.25">
      <c r="A1665" s="1">
        <f t="shared" si="30"/>
        <v>0</v>
      </c>
      <c r="B1665" s="1" t="s">
        <v>54</v>
      </c>
      <c r="C1665" s="1">
        <v>153.6</v>
      </c>
      <c r="D1665" s="1">
        <v>4</v>
      </c>
    </row>
    <row r="1666" spans="1:4" x14ac:dyDescent="0.25">
      <c r="A1666" s="1">
        <f t="shared" ref="A1666:A1729" si="31">IF(COUNTIF($V$3:$Y$99, $B1666)&lt;&gt;0, ROW($B1666), 0)</f>
        <v>0</v>
      </c>
      <c r="B1666" s="1" t="s">
        <v>51</v>
      </c>
      <c r="C1666" s="1">
        <v>38.4</v>
      </c>
      <c r="D1666" s="1">
        <v>1</v>
      </c>
    </row>
    <row r="1667" spans="1:4" x14ac:dyDescent="0.25">
      <c r="A1667" s="1">
        <f t="shared" si="31"/>
        <v>0</v>
      </c>
      <c r="B1667" s="1" t="s">
        <v>31</v>
      </c>
      <c r="C1667" s="1">
        <v>34.56</v>
      </c>
      <c r="D1667" s="1">
        <v>1</v>
      </c>
    </row>
    <row r="1668" spans="1:4" x14ac:dyDescent="0.25">
      <c r="A1668" s="1">
        <f t="shared" si="31"/>
        <v>0</v>
      </c>
      <c r="B1668" s="1" t="s">
        <v>41</v>
      </c>
      <c r="C1668" s="1">
        <v>28.75</v>
      </c>
      <c r="D1668" s="1">
        <v>1</v>
      </c>
    </row>
    <row r="1669" spans="1:4" x14ac:dyDescent="0.25">
      <c r="A1669" s="1">
        <f t="shared" si="31"/>
        <v>0</v>
      </c>
      <c r="B1669" s="1" t="s">
        <v>52</v>
      </c>
      <c r="C1669" s="1">
        <v>64</v>
      </c>
      <c r="D1669" s="1">
        <v>1</v>
      </c>
    </row>
    <row r="1670" spans="1:4" x14ac:dyDescent="0.25">
      <c r="A1670" s="1">
        <f t="shared" si="31"/>
        <v>0</v>
      </c>
      <c r="B1670" s="1" t="s">
        <v>36</v>
      </c>
      <c r="C1670" s="1">
        <v>38.4</v>
      </c>
      <c r="D1670" s="1">
        <v>1</v>
      </c>
    </row>
    <row r="1671" spans="1:4" x14ac:dyDescent="0.25">
      <c r="A1671" s="1">
        <f t="shared" si="31"/>
        <v>0</v>
      </c>
      <c r="B1671" s="1" t="s">
        <v>67</v>
      </c>
      <c r="C1671" s="1">
        <v>99.9</v>
      </c>
      <c r="D1671" s="1">
        <v>2</v>
      </c>
    </row>
    <row r="1672" spans="1:4" x14ac:dyDescent="0.25">
      <c r="A1672" s="1">
        <f t="shared" si="31"/>
        <v>0</v>
      </c>
      <c r="B1672" s="1" t="s">
        <v>33</v>
      </c>
      <c r="C1672" s="1">
        <v>80</v>
      </c>
      <c r="D1672" s="1">
        <v>2</v>
      </c>
    </row>
    <row r="1673" spans="1:4" x14ac:dyDescent="0.25">
      <c r="A1673" s="1">
        <f t="shared" si="31"/>
        <v>0</v>
      </c>
      <c r="B1673" s="1" t="s">
        <v>16</v>
      </c>
      <c r="C1673" s="1">
        <v>35.200000000000003</v>
      </c>
      <c r="D1673" s="1">
        <v>1</v>
      </c>
    </row>
    <row r="1674" spans="1:4" x14ac:dyDescent="0.25">
      <c r="A1674" s="1">
        <f t="shared" si="31"/>
        <v>1674</v>
      </c>
      <c r="B1674" s="1" t="s">
        <v>134</v>
      </c>
    </row>
    <row r="1675" spans="1:4" x14ac:dyDescent="0.25">
      <c r="A1675" s="1">
        <f t="shared" si="31"/>
        <v>0</v>
      </c>
      <c r="B1675" s="1" t="s">
        <v>1</v>
      </c>
      <c r="C1675" s="1">
        <v>62</v>
      </c>
    </row>
    <row r="1676" spans="1:4" x14ac:dyDescent="0.25">
      <c r="A1676" s="1">
        <f t="shared" si="31"/>
        <v>0</v>
      </c>
      <c r="B1676" s="1" t="s">
        <v>2</v>
      </c>
      <c r="C1676" s="1">
        <v>2680.7</v>
      </c>
    </row>
    <row r="1677" spans="1:4" x14ac:dyDescent="0.25">
      <c r="A1677" s="1">
        <f t="shared" si="31"/>
        <v>0</v>
      </c>
      <c r="B1677" s="1" t="s">
        <v>3</v>
      </c>
      <c r="C1677" s="1" t="s">
        <v>4</v>
      </c>
      <c r="D1677" s="1" t="s">
        <v>5</v>
      </c>
    </row>
    <row r="1678" spans="1:4" x14ac:dyDescent="0.25">
      <c r="A1678" s="1">
        <f t="shared" si="31"/>
        <v>0</v>
      </c>
      <c r="B1678" s="1" t="s">
        <v>15</v>
      </c>
      <c r="C1678" s="1">
        <v>68</v>
      </c>
      <c r="D1678" s="1">
        <v>1</v>
      </c>
    </row>
    <row r="1679" spans="1:4" x14ac:dyDescent="0.25">
      <c r="A1679" s="1">
        <f t="shared" si="31"/>
        <v>0</v>
      </c>
      <c r="B1679" s="1" t="s">
        <v>49</v>
      </c>
      <c r="C1679" s="1">
        <v>320</v>
      </c>
      <c r="D1679" s="1">
        <v>8</v>
      </c>
    </row>
    <row r="1680" spans="1:4" x14ac:dyDescent="0.25">
      <c r="A1680" s="1">
        <f t="shared" si="31"/>
        <v>0</v>
      </c>
      <c r="B1680" s="1" t="s">
        <v>18</v>
      </c>
      <c r="C1680" s="1">
        <v>153.6</v>
      </c>
      <c r="D1680" s="1">
        <v>4</v>
      </c>
    </row>
    <row r="1681" spans="1:4" x14ac:dyDescent="0.25">
      <c r="A1681" s="1">
        <f t="shared" si="31"/>
        <v>0</v>
      </c>
      <c r="B1681" s="1" t="s">
        <v>13</v>
      </c>
      <c r="C1681" s="1">
        <v>38.4</v>
      </c>
      <c r="D1681" s="1">
        <v>1</v>
      </c>
    </row>
    <row r="1682" spans="1:4" x14ac:dyDescent="0.25">
      <c r="A1682" s="1">
        <f t="shared" si="31"/>
        <v>0</v>
      </c>
      <c r="B1682" s="1" t="s">
        <v>20</v>
      </c>
      <c r="C1682" s="1">
        <v>384</v>
      </c>
      <c r="D1682" s="1">
        <v>12</v>
      </c>
    </row>
    <row r="1683" spans="1:4" x14ac:dyDescent="0.25">
      <c r="A1683" s="1">
        <f t="shared" si="31"/>
        <v>0</v>
      </c>
      <c r="B1683" s="1" t="s">
        <v>12</v>
      </c>
      <c r="C1683" s="1">
        <v>140</v>
      </c>
      <c r="D1683" s="1">
        <v>4</v>
      </c>
    </row>
    <row r="1684" spans="1:4" x14ac:dyDescent="0.25">
      <c r="A1684" s="1">
        <f t="shared" si="31"/>
        <v>0</v>
      </c>
      <c r="B1684" s="1" t="s">
        <v>21</v>
      </c>
      <c r="C1684" s="1">
        <v>109.6</v>
      </c>
      <c r="D1684" s="1">
        <v>2</v>
      </c>
    </row>
    <row r="1685" spans="1:4" x14ac:dyDescent="0.25">
      <c r="A1685" s="1">
        <f t="shared" si="31"/>
        <v>0</v>
      </c>
      <c r="B1685" s="1" t="s">
        <v>8</v>
      </c>
      <c r="C1685" s="1">
        <v>548</v>
      </c>
      <c r="D1685" s="1">
        <v>9</v>
      </c>
    </row>
    <row r="1686" spans="1:4" x14ac:dyDescent="0.25">
      <c r="A1686" s="1">
        <f t="shared" si="31"/>
        <v>0</v>
      </c>
      <c r="B1686" s="1" t="s">
        <v>10</v>
      </c>
      <c r="C1686" s="1">
        <v>38.4</v>
      </c>
      <c r="D1686" s="1">
        <v>1</v>
      </c>
    </row>
    <row r="1687" spans="1:4" x14ac:dyDescent="0.25">
      <c r="A1687" s="1">
        <f t="shared" si="31"/>
        <v>0</v>
      </c>
      <c r="B1687" s="1" t="s">
        <v>14</v>
      </c>
      <c r="C1687" s="1">
        <v>28.75</v>
      </c>
      <c r="D1687" s="1">
        <v>1</v>
      </c>
    </row>
    <row r="1688" spans="1:4" x14ac:dyDescent="0.25">
      <c r="A1688" s="1">
        <f t="shared" si="31"/>
        <v>0</v>
      </c>
      <c r="B1688" s="1" t="s">
        <v>33</v>
      </c>
      <c r="C1688" s="1">
        <v>280</v>
      </c>
      <c r="D1688" s="1">
        <v>7</v>
      </c>
    </row>
    <row r="1689" spans="1:4" x14ac:dyDescent="0.25">
      <c r="A1689" s="1">
        <f t="shared" si="31"/>
        <v>0</v>
      </c>
      <c r="B1689" s="1" t="s">
        <v>40</v>
      </c>
      <c r="C1689" s="1">
        <v>328.8</v>
      </c>
      <c r="D1689" s="1">
        <v>6</v>
      </c>
    </row>
    <row r="1690" spans="1:4" x14ac:dyDescent="0.25">
      <c r="A1690" s="1">
        <f t="shared" si="31"/>
        <v>0</v>
      </c>
      <c r="B1690" s="1" t="s">
        <v>17</v>
      </c>
      <c r="C1690" s="1">
        <v>38.4</v>
      </c>
      <c r="D1690" s="1">
        <v>1</v>
      </c>
    </row>
    <row r="1691" spans="1:4" x14ac:dyDescent="0.25">
      <c r="A1691" s="1">
        <f t="shared" si="31"/>
        <v>0</v>
      </c>
      <c r="B1691" s="1" t="s">
        <v>27</v>
      </c>
      <c r="C1691" s="1">
        <v>38.4</v>
      </c>
      <c r="D1691" s="1">
        <v>1</v>
      </c>
    </row>
    <row r="1692" spans="1:4" x14ac:dyDescent="0.25">
      <c r="A1692" s="1">
        <f t="shared" si="31"/>
        <v>0</v>
      </c>
      <c r="B1692" s="1" t="s">
        <v>52</v>
      </c>
      <c r="C1692" s="1">
        <v>64</v>
      </c>
      <c r="D1692" s="1">
        <v>1</v>
      </c>
    </row>
    <row r="1693" spans="1:4" x14ac:dyDescent="0.25">
      <c r="A1693" s="1">
        <f t="shared" si="31"/>
        <v>0</v>
      </c>
      <c r="B1693" s="1" t="s">
        <v>16</v>
      </c>
      <c r="C1693" s="1">
        <v>35.200000000000003</v>
      </c>
      <c r="D1693" s="1">
        <v>1</v>
      </c>
    </row>
    <row r="1694" spans="1:4" x14ac:dyDescent="0.25">
      <c r="A1694" s="1">
        <f t="shared" si="31"/>
        <v>0</v>
      </c>
      <c r="B1694" s="1" t="s">
        <v>62</v>
      </c>
      <c r="C1694" s="1">
        <v>38.4</v>
      </c>
      <c r="D1694" s="1">
        <v>1</v>
      </c>
    </row>
    <row r="1695" spans="1:4" x14ac:dyDescent="0.25">
      <c r="A1695" s="1">
        <f t="shared" si="31"/>
        <v>0</v>
      </c>
      <c r="B1695" s="1" t="s">
        <v>41</v>
      </c>
      <c r="C1695" s="1">
        <v>28.75</v>
      </c>
      <c r="D1695" s="1">
        <v>1</v>
      </c>
    </row>
    <row r="1696" spans="1:4" x14ac:dyDescent="0.25">
      <c r="A1696" s="1">
        <f t="shared" si="31"/>
        <v>1696</v>
      </c>
      <c r="B1696" s="1" t="s">
        <v>135</v>
      </c>
    </row>
    <row r="1697" spans="1:4" x14ac:dyDescent="0.25">
      <c r="A1697" s="1">
        <f t="shared" si="31"/>
        <v>0</v>
      </c>
      <c r="B1697" s="1" t="s">
        <v>1</v>
      </c>
      <c r="C1697" s="1">
        <v>47</v>
      </c>
    </row>
    <row r="1698" spans="1:4" x14ac:dyDescent="0.25">
      <c r="A1698" s="1">
        <f t="shared" si="31"/>
        <v>0</v>
      </c>
      <c r="B1698" s="1" t="s">
        <v>2</v>
      </c>
      <c r="C1698" s="1">
        <v>2064.5300000000002</v>
      </c>
    </row>
    <row r="1699" spans="1:4" x14ac:dyDescent="0.25">
      <c r="A1699" s="1">
        <f t="shared" si="31"/>
        <v>0</v>
      </c>
      <c r="B1699" s="1" t="s">
        <v>3</v>
      </c>
      <c r="C1699" s="1" t="s">
        <v>4</v>
      </c>
      <c r="D1699" s="1" t="s">
        <v>5</v>
      </c>
    </row>
    <row r="1700" spans="1:4" x14ac:dyDescent="0.25">
      <c r="A1700" s="1">
        <f t="shared" si="31"/>
        <v>0</v>
      </c>
      <c r="B1700" s="1" t="s">
        <v>15</v>
      </c>
      <c r="C1700" s="1">
        <v>340</v>
      </c>
      <c r="D1700" s="1">
        <v>5</v>
      </c>
    </row>
    <row r="1701" spans="1:4" x14ac:dyDescent="0.25">
      <c r="A1701" s="1">
        <f t="shared" si="31"/>
        <v>0</v>
      </c>
      <c r="B1701" s="1" t="s">
        <v>7</v>
      </c>
      <c r="C1701" s="1">
        <v>109.6</v>
      </c>
      <c r="D1701" s="1">
        <v>2</v>
      </c>
    </row>
    <row r="1702" spans="1:4" x14ac:dyDescent="0.25">
      <c r="A1702" s="1">
        <f t="shared" si="31"/>
        <v>0</v>
      </c>
      <c r="B1702" s="1" t="s">
        <v>6</v>
      </c>
      <c r="C1702" s="1">
        <v>54.8</v>
      </c>
      <c r="D1702" s="1">
        <v>1</v>
      </c>
    </row>
    <row r="1703" spans="1:4" x14ac:dyDescent="0.25">
      <c r="A1703" s="1">
        <f t="shared" si="31"/>
        <v>0</v>
      </c>
      <c r="B1703" s="1" t="s">
        <v>20</v>
      </c>
      <c r="C1703" s="1">
        <v>345.6</v>
      </c>
      <c r="D1703" s="1">
        <v>9</v>
      </c>
    </row>
    <row r="1704" spans="1:4" x14ac:dyDescent="0.25">
      <c r="A1704" s="1">
        <f t="shared" si="31"/>
        <v>0</v>
      </c>
      <c r="B1704" s="1" t="s">
        <v>49</v>
      </c>
      <c r="C1704" s="1">
        <v>240</v>
      </c>
      <c r="D1704" s="1">
        <v>6</v>
      </c>
    </row>
    <row r="1705" spans="1:4" x14ac:dyDescent="0.25">
      <c r="A1705" s="1">
        <f t="shared" si="31"/>
        <v>0</v>
      </c>
      <c r="B1705" s="1" t="s">
        <v>62</v>
      </c>
      <c r="C1705" s="1">
        <v>38.4</v>
      </c>
      <c r="D1705" s="1">
        <v>2</v>
      </c>
    </row>
    <row r="1706" spans="1:4" x14ac:dyDescent="0.25">
      <c r="A1706" s="1">
        <f t="shared" si="31"/>
        <v>0</v>
      </c>
      <c r="B1706" s="1" t="s">
        <v>12</v>
      </c>
      <c r="C1706" s="1">
        <v>35</v>
      </c>
      <c r="D1706" s="1">
        <v>1</v>
      </c>
    </row>
    <row r="1707" spans="1:4" x14ac:dyDescent="0.25">
      <c r="A1707" s="1">
        <f t="shared" si="31"/>
        <v>0</v>
      </c>
      <c r="B1707" s="1" t="s">
        <v>18</v>
      </c>
      <c r="C1707" s="1">
        <v>153.6</v>
      </c>
      <c r="D1707" s="1">
        <v>4</v>
      </c>
    </row>
    <row r="1708" spans="1:4" x14ac:dyDescent="0.25">
      <c r="A1708" s="1">
        <f t="shared" si="31"/>
        <v>0</v>
      </c>
      <c r="B1708" s="1" t="s">
        <v>36</v>
      </c>
      <c r="C1708" s="1">
        <v>76.8</v>
      </c>
      <c r="D1708" s="1">
        <v>2</v>
      </c>
    </row>
    <row r="1709" spans="1:4" x14ac:dyDescent="0.25">
      <c r="A1709" s="1">
        <f t="shared" si="31"/>
        <v>0</v>
      </c>
      <c r="B1709" s="1" t="s">
        <v>8</v>
      </c>
      <c r="C1709" s="1">
        <v>219.2</v>
      </c>
      <c r="D1709" s="1">
        <v>4</v>
      </c>
    </row>
    <row r="1710" spans="1:4" x14ac:dyDescent="0.25">
      <c r="A1710" s="1">
        <f t="shared" si="31"/>
        <v>0</v>
      </c>
      <c r="B1710" s="1" t="s">
        <v>21</v>
      </c>
      <c r="C1710" s="1">
        <v>164.4</v>
      </c>
      <c r="D1710" s="1">
        <v>3</v>
      </c>
    </row>
    <row r="1711" spans="1:4" x14ac:dyDescent="0.25">
      <c r="A1711" s="1">
        <f t="shared" si="31"/>
        <v>0</v>
      </c>
      <c r="B1711" s="1" t="s">
        <v>30</v>
      </c>
      <c r="C1711" s="1">
        <v>31.98</v>
      </c>
      <c r="D1711" s="1">
        <v>2</v>
      </c>
    </row>
    <row r="1712" spans="1:4" x14ac:dyDescent="0.25">
      <c r="A1712" s="1">
        <f t="shared" si="31"/>
        <v>0</v>
      </c>
      <c r="B1712" s="1" t="s">
        <v>54</v>
      </c>
      <c r="C1712" s="1">
        <v>76.8</v>
      </c>
      <c r="D1712" s="1">
        <v>2</v>
      </c>
    </row>
    <row r="1713" spans="1:4" x14ac:dyDescent="0.25">
      <c r="A1713" s="1">
        <f t="shared" si="31"/>
        <v>0</v>
      </c>
      <c r="B1713" s="1" t="s">
        <v>67</v>
      </c>
      <c r="C1713" s="1">
        <v>49.95</v>
      </c>
      <c r="D1713" s="1">
        <v>1</v>
      </c>
    </row>
    <row r="1714" spans="1:4" x14ac:dyDescent="0.25">
      <c r="A1714" s="1">
        <f t="shared" si="31"/>
        <v>0</v>
      </c>
      <c r="B1714" s="1" t="s">
        <v>40</v>
      </c>
      <c r="C1714" s="1">
        <v>54.8</v>
      </c>
      <c r="D1714" s="1">
        <v>1</v>
      </c>
    </row>
    <row r="1715" spans="1:4" x14ac:dyDescent="0.25">
      <c r="A1715" s="1">
        <f t="shared" si="31"/>
        <v>0</v>
      </c>
      <c r="B1715" s="1" t="s">
        <v>56</v>
      </c>
      <c r="C1715" s="1">
        <v>38.4</v>
      </c>
      <c r="D1715" s="1">
        <v>1</v>
      </c>
    </row>
    <row r="1716" spans="1:4" x14ac:dyDescent="0.25">
      <c r="A1716" s="1">
        <f t="shared" si="31"/>
        <v>0</v>
      </c>
      <c r="B1716" s="1" t="s">
        <v>16</v>
      </c>
      <c r="C1716" s="1">
        <v>35.200000000000003</v>
      </c>
      <c r="D1716" s="1">
        <v>1</v>
      </c>
    </row>
    <row r="1717" spans="1:4" x14ac:dyDescent="0.25">
      <c r="A1717" s="1">
        <f t="shared" si="31"/>
        <v>1717</v>
      </c>
      <c r="B1717" s="1" t="s">
        <v>136</v>
      </c>
    </row>
    <row r="1718" spans="1:4" x14ac:dyDescent="0.25">
      <c r="A1718" s="1">
        <f t="shared" si="31"/>
        <v>0</v>
      </c>
      <c r="B1718" s="1" t="s">
        <v>1</v>
      </c>
      <c r="C1718" s="1">
        <v>40</v>
      </c>
    </row>
    <row r="1719" spans="1:4" x14ac:dyDescent="0.25">
      <c r="A1719" s="1">
        <f t="shared" si="31"/>
        <v>0</v>
      </c>
      <c r="B1719" s="1" t="s">
        <v>2</v>
      </c>
      <c r="C1719" s="1">
        <v>1628.15</v>
      </c>
    </row>
    <row r="1720" spans="1:4" x14ac:dyDescent="0.25">
      <c r="A1720" s="1">
        <f t="shared" si="31"/>
        <v>0</v>
      </c>
      <c r="B1720" s="1" t="s">
        <v>3</v>
      </c>
      <c r="C1720" s="1" t="s">
        <v>4</v>
      </c>
      <c r="D1720" s="1" t="s">
        <v>5</v>
      </c>
    </row>
    <row r="1721" spans="1:4" x14ac:dyDescent="0.25">
      <c r="A1721" s="1">
        <f t="shared" si="31"/>
        <v>0</v>
      </c>
      <c r="B1721" s="1" t="s">
        <v>21</v>
      </c>
      <c r="C1721" s="1">
        <v>274</v>
      </c>
      <c r="D1721" s="1">
        <v>5</v>
      </c>
    </row>
    <row r="1722" spans="1:4" x14ac:dyDescent="0.25">
      <c r="A1722" s="1">
        <f t="shared" si="31"/>
        <v>0</v>
      </c>
      <c r="B1722" s="1" t="s">
        <v>20</v>
      </c>
      <c r="C1722" s="1">
        <v>115.2</v>
      </c>
      <c r="D1722" s="1">
        <v>3</v>
      </c>
    </row>
    <row r="1723" spans="1:4" x14ac:dyDescent="0.25">
      <c r="A1723" s="1">
        <f t="shared" si="31"/>
        <v>0</v>
      </c>
      <c r="B1723" s="1" t="s">
        <v>8</v>
      </c>
      <c r="C1723" s="1">
        <v>274</v>
      </c>
      <c r="D1723" s="1">
        <v>8</v>
      </c>
    </row>
    <row r="1724" spans="1:4" x14ac:dyDescent="0.25">
      <c r="A1724" s="1">
        <f t="shared" si="31"/>
        <v>0</v>
      </c>
      <c r="B1724" s="1" t="s">
        <v>33</v>
      </c>
      <c r="C1724" s="1">
        <v>80</v>
      </c>
      <c r="D1724" s="1">
        <v>3</v>
      </c>
    </row>
    <row r="1725" spans="1:4" x14ac:dyDescent="0.25">
      <c r="A1725" s="1">
        <f t="shared" si="31"/>
        <v>0</v>
      </c>
      <c r="B1725" s="1" t="s">
        <v>17</v>
      </c>
      <c r="C1725" s="1">
        <v>76.8</v>
      </c>
      <c r="D1725" s="1">
        <v>2</v>
      </c>
    </row>
    <row r="1726" spans="1:4" x14ac:dyDescent="0.25">
      <c r="A1726" s="1">
        <f t="shared" si="31"/>
        <v>0</v>
      </c>
      <c r="B1726" s="1" t="s">
        <v>49</v>
      </c>
      <c r="C1726" s="1">
        <v>160</v>
      </c>
      <c r="D1726" s="1">
        <v>4</v>
      </c>
    </row>
    <row r="1727" spans="1:4" x14ac:dyDescent="0.25">
      <c r="A1727" s="1">
        <f t="shared" si="31"/>
        <v>0</v>
      </c>
      <c r="B1727" s="1" t="s">
        <v>6</v>
      </c>
      <c r="C1727" s="1">
        <v>109.6</v>
      </c>
      <c r="D1727" s="1">
        <v>2</v>
      </c>
    </row>
    <row r="1728" spans="1:4" x14ac:dyDescent="0.25">
      <c r="A1728" s="1">
        <f t="shared" si="31"/>
        <v>0</v>
      </c>
      <c r="B1728" s="1" t="s">
        <v>18</v>
      </c>
      <c r="C1728" s="1">
        <v>268.8</v>
      </c>
      <c r="D1728" s="1">
        <v>7</v>
      </c>
    </row>
    <row r="1729" spans="1:4" x14ac:dyDescent="0.25">
      <c r="A1729" s="1">
        <f t="shared" si="31"/>
        <v>0</v>
      </c>
      <c r="B1729" s="1" t="s">
        <v>53</v>
      </c>
      <c r="C1729" s="1">
        <v>28.75</v>
      </c>
      <c r="D1729" s="1">
        <v>1</v>
      </c>
    </row>
    <row r="1730" spans="1:4" x14ac:dyDescent="0.25">
      <c r="A1730" s="1">
        <f t="shared" ref="A1730:A1793" si="32">IF(COUNTIF($V$3:$Y$99, $B1730)&lt;&gt;0, ROW($B1730), 0)</f>
        <v>0</v>
      </c>
      <c r="B1730" s="1" t="s">
        <v>12</v>
      </c>
      <c r="C1730" s="1">
        <v>105</v>
      </c>
      <c r="D1730" s="1">
        <v>3</v>
      </c>
    </row>
    <row r="1731" spans="1:4" x14ac:dyDescent="0.25">
      <c r="A1731" s="1">
        <f t="shared" si="32"/>
        <v>0</v>
      </c>
      <c r="B1731" s="1" t="s">
        <v>15</v>
      </c>
      <c r="C1731" s="1">
        <v>136</v>
      </c>
      <c r="D1731" s="1">
        <v>2</v>
      </c>
    </row>
    <row r="1732" spans="1:4" x14ac:dyDescent="0.25">
      <c r="A1732" s="1">
        <f t="shared" si="32"/>
        <v>1732</v>
      </c>
      <c r="B1732" s="1" t="s">
        <v>137</v>
      </c>
    </row>
    <row r="1733" spans="1:4" x14ac:dyDescent="0.25">
      <c r="A1733" s="1">
        <f t="shared" si="32"/>
        <v>0</v>
      </c>
      <c r="B1733" s="1" t="s">
        <v>1</v>
      </c>
      <c r="C1733" s="1">
        <v>30</v>
      </c>
    </row>
    <row r="1734" spans="1:4" x14ac:dyDescent="0.25">
      <c r="A1734" s="1">
        <f t="shared" si="32"/>
        <v>0</v>
      </c>
      <c r="B1734" s="1" t="s">
        <v>2</v>
      </c>
      <c r="C1734" s="1">
        <v>1303.95</v>
      </c>
    </row>
    <row r="1735" spans="1:4" x14ac:dyDescent="0.25">
      <c r="A1735" s="1">
        <f t="shared" si="32"/>
        <v>0</v>
      </c>
      <c r="B1735" s="1" t="s">
        <v>3</v>
      </c>
      <c r="C1735" s="1" t="s">
        <v>4</v>
      </c>
      <c r="D1735" s="1" t="s">
        <v>5</v>
      </c>
    </row>
    <row r="1736" spans="1:4" x14ac:dyDescent="0.25">
      <c r="A1736" s="1">
        <f t="shared" si="32"/>
        <v>0</v>
      </c>
      <c r="B1736" s="1" t="s">
        <v>8</v>
      </c>
      <c r="C1736" s="1">
        <v>219.2</v>
      </c>
      <c r="D1736" s="1">
        <v>4</v>
      </c>
    </row>
    <row r="1737" spans="1:4" x14ac:dyDescent="0.25">
      <c r="A1737" s="1">
        <f t="shared" si="32"/>
        <v>0</v>
      </c>
      <c r="B1737" s="1" t="s">
        <v>6</v>
      </c>
      <c r="C1737" s="1">
        <v>54.8</v>
      </c>
      <c r="D1737" s="1">
        <v>1</v>
      </c>
    </row>
    <row r="1738" spans="1:4" x14ac:dyDescent="0.25">
      <c r="A1738" s="1">
        <f t="shared" si="32"/>
        <v>0</v>
      </c>
      <c r="B1738" s="1" t="s">
        <v>7</v>
      </c>
      <c r="C1738" s="1">
        <v>54.8</v>
      </c>
      <c r="D1738" s="1">
        <v>1</v>
      </c>
    </row>
    <row r="1739" spans="1:4" x14ac:dyDescent="0.25">
      <c r="A1739" s="1">
        <f t="shared" si="32"/>
        <v>0</v>
      </c>
      <c r="B1739" s="1" t="s">
        <v>12</v>
      </c>
      <c r="C1739" s="1">
        <v>70</v>
      </c>
      <c r="D1739" s="1">
        <v>2</v>
      </c>
    </row>
    <row r="1740" spans="1:4" x14ac:dyDescent="0.25">
      <c r="A1740" s="1">
        <f t="shared" si="32"/>
        <v>0</v>
      </c>
      <c r="B1740" s="1" t="s">
        <v>20</v>
      </c>
      <c r="C1740" s="1">
        <v>115.2</v>
      </c>
      <c r="D1740" s="1">
        <v>3</v>
      </c>
    </row>
    <row r="1741" spans="1:4" x14ac:dyDescent="0.25">
      <c r="A1741" s="1">
        <f t="shared" si="32"/>
        <v>0</v>
      </c>
      <c r="B1741" s="1" t="s">
        <v>49</v>
      </c>
      <c r="C1741" s="1">
        <v>80</v>
      </c>
      <c r="D1741" s="1">
        <v>2</v>
      </c>
    </row>
    <row r="1742" spans="1:4" x14ac:dyDescent="0.25">
      <c r="A1742" s="1">
        <f t="shared" si="32"/>
        <v>0</v>
      </c>
      <c r="B1742" s="1" t="s">
        <v>10</v>
      </c>
      <c r="C1742" s="1">
        <v>38.4</v>
      </c>
      <c r="D1742" s="1">
        <v>1</v>
      </c>
    </row>
    <row r="1743" spans="1:4" x14ac:dyDescent="0.25">
      <c r="A1743" s="1">
        <f t="shared" si="32"/>
        <v>0</v>
      </c>
      <c r="B1743" s="1" t="s">
        <v>19</v>
      </c>
      <c r="C1743" s="1">
        <v>28.75</v>
      </c>
      <c r="D1743" s="1">
        <v>1</v>
      </c>
    </row>
    <row r="1744" spans="1:4" x14ac:dyDescent="0.25">
      <c r="A1744" s="1">
        <f t="shared" si="32"/>
        <v>0</v>
      </c>
      <c r="B1744" s="1" t="s">
        <v>13</v>
      </c>
      <c r="C1744" s="1">
        <v>76.8</v>
      </c>
      <c r="D1744" s="1">
        <v>2</v>
      </c>
    </row>
    <row r="1745" spans="1:4" x14ac:dyDescent="0.25">
      <c r="A1745" s="1">
        <f t="shared" si="32"/>
        <v>0</v>
      </c>
      <c r="B1745" s="1" t="s">
        <v>18</v>
      </c>
      <c r="C1745" s="1">
        <v>153.6</v>
      </c>
      <c r="D1745" s="1">
        <v>4</v>
      </c>
    </row>
    <row r="1746" spans="1:4" x14ac:dyDescent="0.25">
      <c r="A1746" s="1">
        <f t="shared" si="32"/>
        <v>0</v>
      </c>
      <c r="B1746" s="1" t="s">
        <v>17</v>
      </c>
      <c r="C1746" s="1">
        <v>153.6</v>
      </c>
      <c r="D1746" s="1">
        <v>4</v>
      </c>
    </row>
    <row r="1747" spans="1:4" x14ac:dyDescent="0.25">
      <c r="A1747" s="1">
        <f t="shared" si="32"/>
        <v>0</v>
      </c>
      <c r="B1747" s="1" t="s">
        <v>15</v>
      </c>
      <c r="C1747" s="1">
        <v>204</v>
      </c>
      <c r="D1747" s="1">
        <v>4</v>
      </c>
    </row>
    <row r="1748" spans="1:4" x14ac:dyDescent="0.25">
      <c r="A1748" s="1">
        <f t="shared" si="32"/>
        <v>0</v>
      </c>
      <c r="B1748" s="1" t="s">
        <v>40</v>
      </c>
      <c r="C1748" s="1">
        <v>54.8</v>
      </c>
      <c r="D1748" s="1">
        <v>1</v>
      </c>
    </row>
    <row r="1749" spans="1:4" x14ac:dyDescent="0.25">
      <c r="A1749" s="1">
        <f t="shared" si="32"/>
        <v>1749</v>
      </c>
      <c r="B1749" s="1" t="s">
        <v>138</v>
      </c>
    </row>
    <row r="1750" spans="1:4" x14ac:dyDescent="0.25">
      <c r="A1750" s="1">
        <f t="shared" si="32"/>
        <v>0</v>
      </c>
      <c r="B1750" s="1" t="s">
        <v>1</v>
      </c>
      <c r="C1750" s="1">
        <v>66</v>
      </c>
    </row>
    <row r="1751" spans="1:4" x14ac:dyDescent="0.25">
      <c r="A1751" s="1">
        <f t="shared" si="32"/>
        <v>0</v>
      </c>
      <c r="B1751" s="1" t="s">
        <v>2</v>
      </c>
      <c r="C1751" s="1">
        <v>2551.19</v>
      </c>
    </row>
    <row r="1752" spans="1:4" x14ac:dyDescent="0.25">
      <c r="A1752" s="1">
        <f t="shared" si="32"/>
        <v>0</v>
      </c>
      <c r="B1752" s="1" t="s">
        <v>3</v>
      </c>
      <c r="C1752" s="1" t="s">
        <v>4</v>
      </c>
      <c r="D1752" s="1" t="s">
        <v>5</v>
      </c>
    </row>
    <row r="1753" spans="1:4" x14ac:dyDescent="0.25">
      <c r="A1753" s="1">
        <f t="shared" si="32"/>
        <v>0</v>
      </c>
      <c r="B1753" s="1" t="s">
        <v>22</v>
      </c>
      <c r="C1753" s="1">
        <v>164.4</v>
      </c>
      <c r="D1753" s="1">
        <v>3</v>
      </c>
    </row>
    <row r="1754" spans="1:4" x14ac:dyDescent="0.25">
      <c r="A1754" s="1">
        <f t="shared" si="32"/>
        <v>0</v>
      </c>
      <c r="B1754" s="1" t="s">
        <v>17</v>
      </c>
      <c r="C1754" s="1">
        <v>307.2</v>
      </c>
      <c r="D1754" s="1">
        <v>9</v>
      </c>
    </row>
    <row r="1755" spans="1:4" x14ac:dyDescent="0.25">
      <c r="A1755" s="1">
        <f t="shared" si="32"/>
        <v>0</v>
      </c>
      <c r="B1755" s="1" t="s">
        <v>8</v>
      </c>
      <c r="C1755" s="1">
        <v>383.6</v>
      </c>
      <c r="D1755" s="1">
        <v>7</v>
      </c>
    </row>
    <row r="1756" spans="1:4" x14ac:dyDescent="0.25">
      <c r="A1756" s="1">
        <f t="shared" si="32"/>
        <v>0</v>
      </c>
      <c r="B1756" s="1" t="s">
        <v>20</v>
      </c>
      <c r="C1756" s="1">
        <v>384</v>
      </c>
      <c r="D1756" s="1">
        <v>10</v>
      </c>
    </row>
    <row r="1757" spans="1:4" x14ac:dyDescent="0.25">
      <c r="A1757" s="1">
        <f t="shared" si="32"/>
        <v>0</v>
      </c>
      <c r="B1757" s="1" t="s">
        <v>49</v>
      </c>
      <c r="C1757" s="1">
        <v>120</v>
      </c>
      <c r="D1757" s="1">
        <v>3</v>
      </c>
    </row>
    <row r="1758" spans="1:4" x14ac:dyDescent="0.25">
      <c r="A1758" s="1">
        <f t="shared" si="32"/>
        <v>0</v>
      </c>
      <c r="B1758" s="1" t="s">
        <v>40</v>
      </c>
      <c r="C1758" s="1">
        <v>274</v>
      </c>
      <c r="D1758" s="1">
        <v>5</v>
      </c>
    </row>
    <row r="1759" spans="1:4" x14ac:dyDescent="0.25">
      <c r="A1759" s="1">
        <f t="shared" si="32"/>
        <v>0</v>
      </c>
      <c r="B1759" s="1" t="s">
        <v>12</v>
      </c>
      <c r="C1759" s="1">
        <v>105</v>
      </c>
      <c r="D1759" s="1">
        <v>3</v>
      </c>
    </row>
    <row r="1760" spans="1:4" x14ac:dyDescent="0.25">
      <c r="A1760" s="1">
        <f t="shared" si="32"/>
        <v>0</v>
      </c>
      <c r="B1760" s="1" t="s">
        <v>18</v>
      </c>
      <c r="C1760" s="1">
        <v>268.8</v>
      </c>
      <c r="D1760" s="1">
        <v>7</v>
      </c>
    </row>
    <row r="1761" spans="1:4" x14ac:dyDescent="0.25">
      <c r="A1761" s="1">
        <f t="shared" si="32"/>
        <v>0</v>
      </c>
      <c r="B1761" s="1" t="s">
        <v>26</v>
      </c>
      <c r="C1761" s="1">
        <v>37.5</v>
      </c>
      <c r="D1761" s="1">
        <v>1</v>
      </c>
    </row>
    <row r="1762" spans="1:4" x14ac:dyDescent="0.25">
      <c r="A1762" s="1">
        <f t="shared" si="32"/>
        <v>0</v>
      </c>
      <c r="B1762" s="1" t="s">
        <v>32</v>
      </c>
      <c r="C1762" s="1">
        <v>38.4</v>
      </c>
      <c r="D1762" s="1">
        <v>1</v>
      </c>
    </row>
    <row r="1763" spans="1:4" x14ac:dyDescent="0.25">
      <c r="A1763" s="1">
        <f t="shared" si="32"/>
        <v>0</v>
      </c>
      <c r="B1763" s="1" t="s">
        <v>54</v>
      </c>
      <c r="C1763" s="1">
        <v>115.2</v>
      </c>
      <c r="D1763" s="1">
        <v>7</v>
      </c>
    </row>
    <row r="1764" spans="1:4" x14ac:dyDescent="0.25">
      <c r="A1764" s="1">
        <f t="shared" si="32"/>
        <v>0</v>
      </c>
      <c r="B1764" s="1" t="s">
        <v>13</v>
      </c>
      <c r="C1764" s="1">
        <v>38.4</v>
      </c>
      <c r="D1764" s="1">
        <v>1</v>
      </c>
    </row>
    <row r="1765" spans="1:4" x14ac:dyDescent="0.25">
      <c r="A1765" s="1">
        <f t="shared" si="32"/>
        <v>0</v>
      </c>
      <c r="B1765" s="1" t="s">
        <v>21</v>
      </c>
      <c r="C1765" s="1">
        <v>109.6</v>
      </c>
      <c r="D1765" s="1">
        <v>3</v>
      </c>
    </row>
    <row r="1766" spans="1:4" x14ac:dyDescent="0.25">
      <c r="A1766" s="1">
        <f t="shared" si="32"/>
        <v>0</v>
      </c>
      <c r="B1766" s="1" t="s">
        <v>19</v>
      </c>
      <c r="C1766" s="1">
        <v>28.75</v>
      </c>
      <c r="D1766" s="1">
        <v>1</v>
      </c>
    </row>
    <row r="1767" spans="1:4" x14ac:dyDescent="0.25">
      <c r="A1767" s="1">
        <f t="shared" si="32"/>
        <v>0</v>
      </c>
      <c r="B1767" s="1" t="s">
        <v>30</v>
      </c>
      <c r="C1767" s="1">
        <v>15.99</v>
      </c>
      <c r="D1767" s="1">
        <v>1</v>
      </c>
    </row>
    <row r="1768" spans="1:4" x14ac:dyDescent="0.25">
      <c r="A1768" s="1">
        <f t="shared" si="32"/>
        <v>0</v>
      </c>
      <c r="B1768" s="1" t="s">
        <v>7</v>
      </c>
      <c r="C1768" s="1">
        <v>54.8</v>
      </c>
      <c r="D1768" s="1">
        <v>1</v>
      </c>
    </row>
    <row r="1769" spans="1:4" x14ac:dyDescent="0.25">
      <c r="A1769" s="1">
        <f t="shared" si="32"/>
        <v>0</v>
      </c>
      <c r="B1769" s="1" t="s">
        <v>62</v>
      </c>
      <c r="C1769" s="1">
        <v>38.4</v>
      </c>
      <c r="D1769" s="1">
        <v>1</v>
      </c>
    </row>
    <row r="1770" spans="1:4" x14ac:dyDescent="0.25">
      <c r="A1770" s="1">
        <f t="shared" si="32"/>
        <v>0</v>
      </c>
      <c r="B1770" s="1" t="s">
        <v>45</v>
      </c>
      <c r="C1770" s="1">
        <v>28.75</v>
      </c>
      <c r="D1770" s="1">
        <v>1</v>
      </c>
    </row>
    <row r="1771" spans="1:4" x14ac:dyDescent="0.25">
      <c r="A1771" s="1">
        <f t="shared" si="32"/>
        <v>0</v>
      </c>
      <c r="B1771" s="1" t="s">
        <v>27</v>
      </c>
      <c r="C1771" s="1">
        <v>38.4</v>
      </c>
      <c r="D1771" s="1">
        <v>1</v>
      </c>
    </row>
    <row r="1772" spans="1:4" x14ac:dyDescent="0.25">
      <c r="A1772" s="1">
        <f t="shared" si="32"/>
        <v>1772</v>
      </c>
      <c r="B1772" s="1" t="s">
        <v>139</v>
      </c>
    </row>
    <row r="1773" spans="1:4" x14ac:dyDescent="0.25">
      <c r="A1773" s="1">
        <f t="shared" si="32"/>
        <v>0</v>
      </c>
      <c r="B1773" s="1" t="s">
        <v>1</v>
      </c>
      <c r="C1773" s="1">
        <v>22</v>
      </c>
    </row>
    <row r="1774" spans="1:4" x14ac:dyDescent="0.25">
      <c r="A1774" s="1">
        <f t="shared" si="32"/>
        <v>0</v>
      </c>
      <c r="B1774" s="1" t="s">
        <v>2</v>
      </c>
      <c r="C1774" s="1">
        <v>899.56</v>
      </c>
    </row>
    <row r="1775" spans="1:4" x14ac:dyDescent="0.25">
      <c r="A1775" s="1">
        <f t="shared" si="32"/>
        <v>0</v>
      </c>
      <c r="B1775" s="1" t="s">
        <v>3</v>
      </c>
      <c r="C1775" s="1" t="s">
        <v>4</v>
      </c>
      <c r="D1775" s="1" t="s">
        <v>5</v>
      </c>
    </row>
    <row r="1776" spans="1:4" x14ac:dyDescent="0.25">
      <c r="A1776" s="1">
        <f t="shared" si="32"/>
        <v>0</v>
      </c>
      <c r="B1776" s="1" t="s">
        <v>33</v>
      </c>
      <c r="C1776" s="1">
        <v>400</v>
      </c>
      <c r="D1776" s="1">
        <v>10</v>
      </c>
    </row>
    <row r="1777" spans="1:4" x14ac:dyDescent="0.25">
      <c r="A1777" s="1">
        <f t="shared" si="32"/>
        <v>0</v>
      </c>
      <c r="B1777" s="1" t="s">
        <v>21</v>
      </c>
      <c r="C1777" s="1">
        <v>109.6</v>
      </c>
      <c r="D1777" s="1">
        <v>2</v>
      </c>
    </row>
    <row r="1778" spans="1:4" x14ac:dyDescent="0.25">
      <c r="A1778" s="1">
        <f t="shared" si="32"/>
        <v>0</v>
      </c>
      <c r="B1778" s="1" t="s">
        <v>12</v>
      </c>
      <c r="C1778" s="1">
        <v>35</v>
      </c>
      <c r="D1778" s="1">
        <v>1</v>
      </c>
    </row>
    <row r="1779" spans="1:4" x14ac:dyDescent="0.25">
      <c r="A1779" s="1">
        <f t="shared" si="32"/>
        <v>0</v>
      </c>
      <c r="B1779" s="1" t="s">
        <v>20</v>
      </c>
      <c r="C1779" s="1">
        <v>76.8</v>
      </c>
      <c r="D1779" s="1">
        <v>2</v>
      </c>
    </row>
    <row r="1780" spans="1:4" x14ac:dyDescent="0.25">
      <c r="A1780" s="1">
        <f t="shared" si="32"/>
        <v>0</v>
      </c>
      <c r="B1780" s="1" t="s">
        <v>16</v>
      </c>
      <c r="C1780" s="1">
        <v>35.200000000000003</v>
      </c>
      <c r="D1780" s="1">
        <v>1</v>
      </c>
    </row>
    <row r="1781" spans="1:4" x14ac:dyDescent="0.25">
      <c r="A1781" s="1">
        <f t="shared" si="32"/>
        <v>0</v>
      </c>
      <c r="B1781" s="1" t="s">
        <v>51</v>
      </c>
      <c r="C1781" s="1">
        <v>38.4</v>
      </c>
      <c r="D1781" s="1">
        <v>1</v>
      </c>
    </row>
    <row r="1782" spans="1:4" x14ac:dyDescent="0.25">
      <c r="A1782" s="1">
        <f t="shared" si="32"/>
        <v>0</v>
      </c>
      <c r="B1782" s="1" t="s">
        <v>36</v>
      </c>
      <c r="C1782" s="1">
        <v>34.56</v>
      </c>
      <c r="D1782" s="1">
        <v>1</v>
      </c>
    </row>
    <row r="1783" spans="1:4" x14ac:dyDescent="0.25">
      <c r="A1783" s="1">
        <f t="shared" si="32"/>
        <v>0</v>
      </c>
      <c r="B1783" s="1" t="s">
        <v>55</v>
      </c>
      <c r="C1783" s="1">
        <v>38.4</v>
      </c>
      <c r="D1783" s="1">
        <v>1</v>
      </c>
    </row>
    <row r="1784" spans="1:4" x14ac:dyDescent="0.25">
      <c r="A1784" s="1">
        <f t="shared" si="32"/>
        <v>0</v>
      </c>
      <c r="B1784" s="1" t="s">
        <v>18</v>
      </c>
      <c r="C1784" s="1">
        <v>38.4</v>
      </c>
      <c r="D1784" s="1">
        <v>1</v>
      </c>
    </row>
    <row r="1785" spans="1:4" x14ac:dyDescent="0.25">
      <c r="A1785" s="1">
        <f t="shared" si="32"/>
        <v>0</v>
      </c>
      <c r="B1785" s="1" t="s">
        <v>62</v>
      </c>
      <c r="C1785" s="1">
        <v>38.4</v>
      </c>
      <c r="D1785" s="1">
        <v>1</v>
      </c>
    </row>
    <row r="1786" spans="1:4" x14ac:dyDescent="0.25">
      <c r="A1786" s="1">
        <f t="shared" si="32"/>
        <v>0</v>
      </c>
      <c r="B1786" s="1" t="s">
        <v>40</v>
      </c>
      <c r="C1786" s="1">
        <v>54.8</v>
      </c>
      <c r="D1786" s="1">
        <v>1</v>
      </c>
    </row>
    <row r="1787" spans="1:4" x14ac:dyDescent="0.25">
      <c r="A1787" s="1">
        <f t="shared" si="32"/>
        <v>1787</v>
      </c>
      <c r="B1787" s="1" t="s">
        <v>140</v>
      </c>
    </row>
    <row r="1788" spans="1:4" x14ac:dyDescent="0.25">
      <c r="A1788" s="1">
        <f t="shared" si="32"/>
        <v>0</v>
      </c>
      <c r="B1788" s="1" t="s">
        <v>1</v>
      </c>
      <c r="C1788" s="1">
        <v>63</v>
      </c>
    </row>
    <row r="1789" spans="1:4" x14ac:dyDescent="0.25">
      <c r="A1789" s="1">
        <f t="shared" si="32"/>
        <v>0</v>
      </c>
      <c r="B1789" s="1" t="s">
        <v>2</v>
      </c>
      <c r="C1789" s="1">
        <v>2620.9899999999998</v>
      </c>
    </row>
    <row r="1790" spans="1:4" x14ac:dyDescent="0.25">
      <c r="A1790" s="1">
        <f t="shared" si="32"/>
        <v>0</v>
      </c>
      <c r="B1790" s="1" t="s">
        <v>3</v>
      </c>
      <c r="C1790" s="1" t="s">
        <v>4</v>
      </c>
      <c r="D1790" s="1" t="s">
        <v>5</v>
      </c>
    </row>
    <row r="1791" spans="1:4" x14ac:dyDescent="0.25">
      <c r="A1791" s="1">
        <f t="shared" si="32"/>
        <v>0</v>
      </c>
      <c r="B1791" s="1" t="s">
        <v>20</v>
      </c>
      <c r="C1791" s="1">
        <v>76.8</v>
      </c>
      <c r="D1791" s="1">
        <v>2</v>
      </c>
    </row>
    <row r="1792" spans="1:4" x14ac:dyDescent="0.25">
      <c r="A1792" s="1">
        <f t="shared" si="32"/>
        <v>0</v>
      </c>
      <c r="B1792" s="1" t="s">
        <v>8</v>
      </c>
      <c r="C1792" s="1">
        <v>712.4</v>
      </c>
      <c r="D1792" s="1">
        <v>13</v>
      </c>
    </row>
    <row r="1793" spans="1:4" x14ac:dyDescent="0.25">
      <c r="A1793" s="1">
        <f t="shared" si="32"/>
        <v>0</v>
      </c>
      <c r="B1793" s="1" t="s">
        <v>12</v>
      </c>
      <c r="C1793" s="1">
        <v>245</v>
      </c>
      <c r="D1793" s="1">
        <v>7</v>
      </c>
    </row>
    <row r="1794" spans="1:4" x14ac:dyDescent="0.25">
      <c r="A1794" s="1">
        <f t="shared" ref="A1794:A1857" si="33">IF(COUNTIF($V$3:$Y$99, $B1794)&lt;&gt;0, ROW($B1794), 0)</f>
        <v>0</v>
      </c>
      <c r="B1794" s="1" t="s">
        <v>57</v>
      </c>
      <c r="C1794" s="1">
        <v>80</v>
      </c>
      <c r="D1794" s="1">
        <v>2</v>
      </c>
    </row>
    <row r="1795" spans="1:4" x14ac:dyDescent="0.25">
      <c r="A1795" s="1">
        <f t="shared" si="33"/>
        <v>0</v>
      </c>
      <c r="B1795" s="1" t="s">
        <v>49</v>
      </c>
      <c r="C1795" s="1">
        <v>80</v>
      </c>
      <c r="D1795" s="1">
        <v>2</v>
      </c>
    </row>
    <row r="1796" spans="1:4" x14ac:dyDescent="0.25">
      <c r="A1796" s="1">
        <f t="shared" si="33"/>
        <v>0</v>
      </c>
      <c r="B1796" s="1" t="s">
        <v>6</v>
      </c>
      <c r="C1796" s="1">
        <v>164.4</v>
      </c>
      <c r="D1796" s="1">
        <v>3</v>
      </c>
    </row>
    <row r="1797" spans="1:4" x14ac:dyDescent="0.25">
      <c r="A1797" s="1">
        <f t="shared" si="33"/>
        <v>0</v>
      </c>
      <c r="B1797" s="1" t="s">
        <v>13</v>
      </c>
      <c r="C1797" s="1">
        <v>38.4</v>
      </c>
      <c r="D1797" s="1">
        <v>1</v>
      </c>
    </row>
    <row r="1798" spans="1:4" x14ac:dyDescent="0.25">
      <c r="A1798" s="1">
        <f t="shared" si="33"/>
        <v>0</v>
      </c>
      <c r="B1798" s="1" t="s">
        <v>50</v>
      </c>
      <c r="C1798" s="1">
        <v>42.5</v>
      </c>
      <c r="D1798" s="1">
        <v>1</v>
      </c>
    </row>
    <row r="1799" spans="1:4" x14ac:dyDescent="0.25">
      <c r="A1799" s="1">
        <f t="shared" si="33"/>
        <v>0</v>
      </c>
      <c r="B1799" s="1" t="s">
        <v>15</v>
      </c>
      <c r="C1799" s="1">
        <v>136</v>
      </c>
      <c r="D1799" s="1">
        <v>2</v>
      </c>
    </row>
    <row r="1800" spans="1:4" x14ac:dyDescent="0.25">
      <c r="A1800" s="1">
        <f t="shared" si="33"/>
        <v>0</v>
      </c>
      <c r="B1800" s="1" t="s">
        <v>62</v>
      </c>
      <c r="C1800" s="1">
        <v>76.8</v>
      </c>
      <c r="D1800" s="1">
        <v>3</v>
      </c>
    </row>
    <row r="1801" spans="1:4" x14ac:dyDescent="0.25">
      <c r="A1801" s="1">
        <f t="shared" si="33"/>
        <v>0</v>
      </c>
      <c r="B1801" s="1" t="s">
        <v>30</v>
      </c>
      <c r="C1801" s="1">
        <v>15.99</v>
      </c>
      <c r="D1801" s="1">
        <v>1</v>
      </c>
    </row>
    <row r="1802" spans="1:4" x14ac:dyDescent="0.25">
      <c r="A1802" s="1">
        <f t="shared" si="33"/>
        <v>0</v>
      </c>
      <c r="B1802" s="1" t="s">
        <v>17</v>
      </c>
      <c r="C1802" s="1">
        <v>230.4</v>
      </c>
      <c r="D1802" s="1">
        <v>7</v>
      </c>
    </row>
    <row r="1803" spans="1:4" x14ac:dyDescent="0.25">
      <c r="A1803" s="1">
        <f t="shared" si="33"/>
        <v>0</v>
      </c>
      <c r="B1803" s="1" t="s">
        <v>16</v>
      </c>
      <c r="C1803" s="1">
        <v>105.6</v>
      </c>
      <c r="D1803" s="1">
        <v>4</v>
      </c>
    </row>
    <row r="1804" spans="1:4" x14ac:dyDescent="0.25">
      <c r="A1804" s="1">
        <f t="shared" si="33"/>
        <v>0</v>
      </c>
      <c r="B1804" s="1" t="s">
        <v>18</v>
      </c>
      <c r="C1804" s="1">
        <v>230.4</v>
      </c>
      <c r="D1804" s="1">
        <v>6</v>
      </c>
    </row>
    <row r="1805" spans="1:4" x14ac:dyDescent="0.25">
      <c r="A1805" s="1">
        <f t="shared" si="33"/>
        <v>0</v>
      </c>
      <c r="B1805" s="1" t="s">
        <v>40</v>
      </c>
      <c r="C1805" s="1">
        <v>54.8</v>
      </c>
      <c r="D1805" s="1">
        <v>1</v>
      </c>
    </row>
    <row r="1806" spans="1:4" x14ac:dyDescent="0.25">
      <c r="A1806" s="1">
        <f t="shared" si="33"/>
        <v>0</v>
      </c>
      <c r="B1806" s="1" t="s">
        <v>53</v>
      </c>
      <c r="C1806" s="1">
        <v>28.75</v>
      </c>
      <c r="D1806" s="1">
        <v>1</v>
      </c>
    </row>
    <row r="1807" spans="1:4" x14ac:dyDescent="0.25">
      <c r="A1807" s="1">
        <f t="shared" si="33"/>
        <v>0</v>
      </c>
      <c r="B1807" s="1" t="s">
        <v>35</v>
      </c>
      <c r="C1807" s="1">
        <v>38.4</v>
      </c>
      <c r="D1807" s="1">
        <v>1</v>
      </c>
    </row>
    <row r="1808" spans="1:4" x14ac:dyDescent="0.25">
      <c r="A1808" s="1">
        <f t="shared" si="33"/>
        <v>0</v>
      </c>
      <c r="B1808" s="1" t="s">
        <v>33</v>
      </c>
      <c r="C1808" s="1">
        <v>40</v>
      </c>
      <c r="D1808" s="1">
        <v>1</v>
      </c>
    </row>
    <row r="1809" spans="1:4" x14ac:dyDescent="0.25">
      <c r="A1809" s="1">
        <f t="shared" si="33"/>
        <v>0</v>
      </c>
      <c r="B1809" s="1" t="s">
        <v>54</v>
      </c>
      <c r="C1809" s="1">
        <v>38.4</v>
      </c>
      <c r="D1809" s="1">
        <v>1</v>
      </c>
    </row>
    <row r="1810" spans="1:4" x14ac:dyDescent="0.25">
      <c r="A1810" s="1">
        <f t="shared" si="33"/>
        <v>0</v>
      </c>
      <c r="B1810" s="1" t="s">
        <v>22</v>
      </c>
      <c r="C1810" s="1">
        <v>54.8</v>
      </c>
      <c r="D1810" s="1">
        <v>1</v>
      </c>
    </row>
    <row r="1811" spans="1:4" x14ac:dyDescent="0.25">
      <c r="A1811" s="1">
        <f t="shared" si="33"/>
        <v>0</v>
      </c>
      <c r="B1811" s="1" t="s">
        <v>34</v>
      </c>
      <c r="C1811" s="1">
        <v>64</v>
      </c>
      <c r="D1811" s="1">
        <v>1</v>
      </c>
    </row>
    <row r="1812" spans="1:4" x14ac:dyDescent="0.25">
      <c r="A1812" s="1">
        <f t="shared" si="33"/>
        <v>0</v>
      </c>
      <c r="B1812" s="1" t="s">
        <v>41</v>
      </c>
      <c r="C1812" s="1">
        <v>28.75</v>
      </c>
      <c r="D1812" s="1">
        <v>1</v>
      </c>
    </row>
    <row r="1813" spans="1:4" x14ac:dyDescent="0.25">
      <c r="A1813" s="1">
        <f t="shared" si="33"/>
        <v>0</v>
      </c>
      <c r="B1813" s="1" t="s">
        <v>55</v>
      </c>
      <c r="C1813" s="1">
        <v>38.4</v>
      </c>
      <c r="D1813" s="1">
        <v>1</v>
      </c>
    </row>
    <row r="1814" spans="1:4" x14ac:dyDescent="0.25">
      <c r="A1814" s="1">
        <f t="shared" si="33"/>
        <v>1814</v>
      </c>
      <c r="B1814" s="1" t="s">
        <v>141</v>
      </c>
    </row>
    <row r="1815" spans="1:4" x14ac:dyDescent="0.25">
      <c r="A1815" s="1">
        <f t="shared" si="33"/>
        <v>0</v>
      </c>
      <c r="B1815" s="1" t="s">
        <v>1</v>
      </c>
      <c r="C1815" s="1">
        <v>89</v>
      </c>
    </row>
    <row r="1816" spans="1:4" x14ac:dyDescent="0.25">
      <c r="A1816" s="1">
        <f t="shared" si="33"/>
        <v>0</v>
      </c>
      <c r="B1816" s="1" t="s">
        <v>2</v>
      </c>
      <c r="C1816" s="1">
        <v>3348.01</v>
      </c>
    </row>
    <row r="1817" spans="1:4" x14ac:dyDescent="0.25">
      <c r="A1817" s="1">
        <f t="shared" si="33"/>
        <v>0</v>
      </c>
      <c r="B1817" s="1" t="s">
        <v>3</v>
      </c>
      <c r="C1817" s="1" t="s">
        <v>4</v>
      </c>
      <c r="D1817" s="1" t="s">
        <v>5</v>
      </c>
    </row>
    <row r="1818" spans="1:4" x14ac:dyDescent="0.25">
      <c r="A1818" s="1">
        <f t="shared" si="33"/>
        <v>0</v>
      </c>
      <c r="B1818" s="1" t="s">
        <v>20</v>
      </c>
      <c r="C1818" s="1">
        <v>230.4</v>
      </c>
      <c r="D1818" s="1">
        <v>6</v>
      </c>
    </row>
    <row r="1819" spans="1:4" x14ac:dyDescent="0.25">
      <c r="A1819" s="1">
        <f t="shared" si="33"/>
        <v>0</v>
      </c>
      <c r="B1819" s="1" t="s">
        <v>40</v>
      </c>
      <c r="C1819" s="1">
        <v>219.2</v>
      </c>
      <c r="D1819" s="1">
        <v>5</v>
      </c>
    </row>
    <row r="1820" spans="1:4" x14ac:dyDescent="0.25">
      <c r="A1820" s="1">
        <f t="shared" si="33"/>
        <v>0</v>
      </c>
      <c r="B1820" s="1" t="s">
        <v>7</v>
      </c>
      <c r="C1820" s="1">
        <v>109.6</v>
      </c>
      <c r="D1820" s="1">
        <v>2</v>
      </c>
    </row>
    <row r="1821" spans="1:4" x14ac:dyDescent="0.25">
      <c r="A1821" s="1">
        <f t="shared" si="33"/>
        <v>0</v>
      </c>
      <c r="B1821" s="1" t="s">
        <v>21</v>
      </c>
      <c r="C1821" s="1">
        <v>219.2</v>
      </c>
      <c r="D1821" s="1">
        <v>4</v>
      </c>
    </row>
    <row r="1822" spans="1:4" x14ac:dyDescent="0.25">
      <c r="A1822" s="1">
        <f t="shared" si="33"/>
        <v>0</v>
      </c>
      <c r="B1822" s="1" t="s">
        <v>18</v>
      </c>
      <c r="C1822" s="1">
        <v>230.4</v>
      </c>
      <c r="D1822" s="1">
        <v>6</v>
      </c>
    </row>
    <row r="1823" spans="1:4" x14ac:dyDescent="0.25">
      <c r="A1823" s="1">
        <f t="shared" si="33"/>
        <v>0</v>
      </c>
      <c r="B1823" s="1" t="s">
        <v>8</v>
      </c>
      <c r="C1823" s="1">
        <v>328.8</v>
      </c>
      <c r="D1823" s="1">
        <v>7</v>
      </c>
    </row>
    <row r="1824" spans="1:4" x14ac:dyDescent="0.25">
      <c r="A1824" s="1">
        <f t="shared" si="33"/>
        <v>0</v>
      </c>
      <c r="B1824" s="1" t="s">
        <v>12</v>
      </c>
      <c r="C1824" s="1">
        <v>385</v>
      </c>
      <c r="D1824" s="1">
        <v>11</v>
      </c>
    </row>
    <row r="1825" spans="1:4" x14ac:dyDescent="0.25">
      <c r="A1825" s="1">
        <f t="shared" si="33"/>
        <v>0</v>
      </c>
      <c r="B1825" s="1" t="s">
        <v>62</v>
      </c>
      <c r="C1825" s="1">
        <v>38.4</v>
      </c>
      <c r="D1825" s="1">
        <v>1</v>
      </c>
    </row>
    <row r="1826" spans="1:4" x14ac:dyDescent="0.25">
      <c r="A1826" s="1">
        <f t="shared" si="33"/>
        <v>0</v>
      </c>
      <c r="B1826" s="1" t="s">
        <v>17</v>
      </c>
      <c r="C1826" s="1">
        <v>115.2</v>
      </c>
      <c r="D1826" s="1">
        <v>3</v>
      </c>
    </row>
    <row r="1827" spans="1:4" x14ac:dyDescent="0.25">
      <c r="A1827" s="1">
        <f t="shared" si="33"/>
        <v>0</v>
      </c>
      <c r="B1827" s="1" t="s">
        <v>13</v>
      </c>
      <c r="C1827" s="1">
        <v>153.6</v>
      </c>
      <c r="D1827" s="1">
        <v>6</v>
      </c>
    </row>
    <row r="1828" spans="1:4" x14ac:dyDescent="0.25">
      <c r="A1828" s="1">
        <f t="shared" si="33"/>
        <v>0</v>
      </c>
      <c r="B1828" s="1" t="s">
        <v>16</v>
      </c>
      <c r="C1828" s="1">
        <v>387.2</v>
      </c>
      <c r="D1828" s="1">
        <v>11</v>
      </c>
    </row>
    <row r="1829" spans="1:4" x14ac:dyDescent="0.25">
      <c r="A1829" s="1">
        <f t="shared" si="33"/>
        <v>0</v>
      </c>
      <c r="B1829" s="1" t="s">
        <v>10</v>
      </c>
      <c r="C1829" s="1">
        <v>38.4</v>
      </c>
      <c r="D1829" s="1">
        <v>1</v>
      </c>
    </row>
    <row r="1830" spans="1:4" x14ac:dyDescent="0.25">
      <c r="A1830" s="1">
        <f t="shared" si="33"/>
        <v>0</v>
      </c>
      <c r="B1830" s="1" t="s">
        <v>64</v>
      </c>
      <c r="C1830" s="1">
        <v>38.4</v>
      </c>
      <c r="D1830" s="1">
        <v>1</v>
      </c>
    </row>
    <row r="1831" spans="1:4" x14ac:dyDescent="0.25">
      <c r="A1831" s="1">
        <f t="shared" si="33"/>
        <v>0</v>
      </c>
      <c r="B1831" s="1" t="s">
        <v>31</v>
      </c>
      <c r="C1831" s="1">
        <v>69.12</v>
      </c>
      <c r="D1831" s="1">
        <v>3</v>
      </c>
    </row>
    <row r="1832" spans="1:4" x14ac:dyDescent="0.25">
      <c r="A1832" s="1">
        <f t="shared" si="33"/>
        <v>0</v>
      </c>
      <c r="B1832" s="1" t="s">
        <v>14</v>
      </c>
      <c r="C1832" s="1">
        <v>28.75</v>
      </c>
      <c r="D1832" s="1">
        <v>1</v>
      </c>
    </row>
    <row r="1833" spans="1:4" x14ac:dyDescent="0.25">
      <c r="A1833" s="1">
        <f t="shared" si="33"/>
        <v>0</v>
      </c>
      <c r="B1833" s="1" t="s">
        <v>36</v>
      </c>
      <c r="C1833" s="1">
        <v>76.8</v>
      </c>
      <c r="D1833" s="1">
        <v>2</v>
      </c>
    </row>
    <row r="1834" spans="1:4" x14ac:dyDescent="0.25">
      <c r="A1834" s="1">
        <f t="shared" si="33"/>
        <v>0</v>
      </c>
      <c r="B1834" s="1" t="s">
        <v>35</v>
      </c>
      <c r="C1834" s="1">
        <v>38.4</v>
      </c>
      <c r="D1834" s="1">
        <v>1</v>
      </c>
    </row>
    <row r="1835" spans="1:4" x14ac:dyDescent="0.25">
      <c r="A1835" s="1">
        <f t="shared" si="33"/>
        <v>0</v>
      </c>
      <c r="B1835" s="1" t="s">
        <v>9</v>
      </c>
      <c r="C1835" s="1">
        <v>109.6</v>
      </c>
      <c r="D1835" s="1">
        <v>2</v>
      </c>
    </row>
    <row r="1836" spans="1:4" x14ac:dyDescent="0.25">
      <c r="A1836" s="1">
        <f t="shared" si="33"/>
        <v>0</v>
      </c>
      <c r="B1836" s="1" t="s">
        <v>59</v>
      </c>
      <c r="C1836" s="1">
        <v>160</v>
      </c>
      <c r="D1836" s="1">
        <v>4</v>
      </c>
    </row>
    <row r="1837" spans="1:4" x14ac:dyDescent="0.25">
      <c r="A1837" s="1">
        <f t="shared" si="33"/>
        <v>0</v>
      </c>
      <c r="B1837" s="1" t="s">
        <v>19</v>
      </c>
      <c r="C1837" s="1">
        <v>28.75</v>
      </c>
      <c r="D1837" s="1">
        <v>1</v>
      </c>
    </row>
    <row r="1838" spans="1:4" x14ac:dyDescent="0.25">
      <c r="A1838" s="1">
        <f t="shared" si="33"/>
        <v>0</v>
      </c>
      <c r="B1838" s="1" t="s">
        <v>56</v>
      </c>
      <c r="C1838" s="1">
        <v>153.6</v>
      </c>
      <c r="D1838" s="1">
        <v>6</v>
      </c>
    </row>
    <row r="1839" spans="1:4" x14ac:dyDescent="0.25">
      <c r="A1839" s="1">
        <f t="shared" si="33"/>
        <v>0</v>
      </c>
      <c r="B1839" s="1" t="s">
        <v>22</v>
      </c>
      <c r="C1839" s="1">
        <v>54.8</v>
      </c>
      <c r="D1839" s="1">
        <v>1</v>
      </c>
    </row>
    <row r="1840" spans="1:4" x14ac:dyDescent="0.25">
      <c r="A1840" s="1">
        <f t="shared" si="33"/>
        <v>0</v>
      </c>
      <c r="B1840" s="1" t="s">
        <v>30</v>
      </c>
      <c r="C1840" s="1">
        <v>15.99</v>
      </c>
      <c r="D1840" s="1">
        <v>1</v>
      </c>
    </row>
    <row r="1841" spans="1:4" x14ac:dyDescent="0.25">
      <c r="A1841" s="1">
        <f t="shared" si="33"/>
        <v>0</v>
      </c>
      <c r="B1841" s="1" t="s">
        <v>49</v>
      </c>
      <c r="C1841" s="1">
        <v>80</v>
      </c>
      <c r="D1841" s="1">
        <v>2</v>
      </c>
    </row>
    <row r="1842" spans="1:4" x14ac:dyDescent="0.25">
      <c r="A1842" s="1">
        <f t="shared" si="33"/>
        <v>0</v>
      </c>
      <c r="B1842" s="1" t="s">
        <v>54</v>
      </c>
      <c r="C1842" s="1">
        <v>38.4</v>
      </c>
      <c r="D1842" s="1">
        <v>1</v>
      </c>
    </row>
    <row r="1843" spans="1:4" x14ac:dyDescent="0.25">
      <c r="A1843" s="1">
        <f t="shared" si="33"/>
        <v>1843</v>
      </c>
      <c r="B1843" s="1" t="s">
        <v>142</v>
      </c>
    </row>
    <row r="1844" spans="1:4" x14ac:dyDescent="0.25">
      <c r="A1844" s="1">
        <f t="shared" si="33"/>
        <v>0</v>
      </c>
      <c r="B1844" s="1" t="s">
        <v>1</v>
      </c>
      <c r="C1844" s="1">
        <v>77</v>
      </c>
    </row>
    <row r="1845" spans="1:4" x14ac:dyDescent="0.25">
      <c r="A1845" s="1">
        <f t="shared" si="33"/>
        <v>0</v>
      </c>
      <c r="B1845" s="1" t="s">
        <v>2</v>
      </c>
      <c r="C1845" s="1">
        <v>3168.65</v>
      </c>
    </row>
    <row r="1846" spans="1:4" x14ac:dyDescent="0.25">
      <c r="A1846" s="1">
        <f t="shared" si="33"/>
        <v>0</v>
      </c>
      <c r="B1846" s="1" t="s">
        <v>3</v>
      </c>
      <c r="C1846" s="1" t="s">
        <v>4</v>
      </c>
      <c r="D1846" s="1" t="s">
        <v>5</v>
      </c>
    </row>
    <row r="1847" spans="1:4" x14ac:dyDescent="0.25">
      <c r="A1847" s="1">
        <f t="shared" si="33"/>
        <v>0</v>
      </c>
      <c r="B1847" s="1" t="s">
        <v>15</v>
      </c>
      <c r="C1847" s="1">
        <v>136</v>
      </c>
      <c r="D1847" s="1">
        <v>3</v>
      </c>
    </row>
    <row r="1848" spans="1:4" x14ac:dyDescent="0.25">
      <c r="A1848" s="1">
        <f t="shared" si="33"/>
        <v>0</v>
      </c>
      <c r="B1848" s="1" t="s">
        <v>8</v>
      </c>
      <c r="C1848" s="1">
        <v>438.4</v>
      </c>
      <c r="D1848" s="1">
        <v>8</v>
      </c>
    </row>
    <row r="1849" spans="1:4" x14ac:dyDescent="0.25">
      <c r="A1849" s="1">
        <f t="shared" si="33"/>
        <v>0</v>
      </c>
      <c r="B1849" s="1" t="s">
        <v>12</v>
      </c>
      <c r="C1849" s="1">
        <v>210</v>
      </c>
      <c r="D1849" s="1">
        <v>6</v>
      </c>
    </row>
    <row r="1850" spans="1:4" x14ac:dyDescent="0.25">
      <c r="A1850" s="1">
        <f t="shared" si="33"/>
        <v>0</v>
      </c>
      <c r="B1850" s="1" t="s">
        <v>71</v>
      </c>
      <c r="C1850" s="1">
        <v>40</v>
      </c>
      <c r="D1850" s="1">
        <v>1</v>
      </c>
    </row>
    <row r="1851" spans="1:4" x14ac:dyDescent="0.25">
      <c r="A1851" s="1">
        <f t="shared" si="33"/>
        <v>0</v>
      </c>
      <c r="B1851" s="1" t="s">
        <v>19</v>
      </c>
      <c r="C1851" s="1">
        <v>28.75</v>
      </c>
      <c r="D1851" s="1">
        <v>1</v>
      </c>
    </row>
    <row r="1852" spans="1:4" x14ac:dyDescent="0.25">
      <c r="A1852" s="1">
        <f t="shared" si="33"/>
        <v>0</v>
      </c>
      <c r="B1852" s="1" t="s">
        <v>17</v>
      </c>
      <c r="C1852" s="1">
        <v>153.6</v>
      </c>
      <c r="D1852" s="1">
        <v>4</v>
      </c>
    </row>
    <row r="1853" spans="1:4" x14ac:dyDescent="0.25">
      <c r="A1853" s="1">
        <f t="shared" si="33"/>
        <v>0</v>
      </c>
      <c r="B1853" s="1" t="s">
        <v>20</v>
      </c>
      <c r="C1853" s="1">
        <v>192</v>
      </c>
      <c r="D1853" s="1">
        <v>5</v>
      </c>
    </row>
    <row r="1854" spans="1:4" x14ac:dyDescent="0.25">
      <c r="A1854" s="1">
        <f t="shared" si="33"/>
        <v>0</v>
      </c>
      <c r="B1854" s="1" t="s">
        <v>18</v>
      </c>
      <c r="C1854" s="1">
        <v>153.6</v>
      </c>
      <c r="D1854" s="1">
        <v>4</v>
      </c>
    </row>
    <row r="1855" spans="1:4" x14ac:dyDescent="0.25">
      <c r="A1855" s="1">
        <f t="shared" si="33"/>
        <v>0</v>
      </c>
      <c r="B1855" s="1" t="s">
        <v>16</v>
      </c>
      <c r="C1855" s="1">
        <v>105.6</v>
      </c>
      <c r="D1855" s="1">
        <v>3</v>
      </c>
    </row>
    <row r="1856" spans="1:4" x14ac:dyDescent="0.25">
      <c r="A1856" s="1">
        <f t="shared" si="33"/>
        <v>0</v>
      </c>
      <c r="B1856" s="1" t="s">
        <v>51</v>
      </c>
      <c r="C1856" s="1">
        <v>76.8</v>
      </c>
      <c r="D1856" s="1">
        <v>2</v>
      </c>
    </row>
    <row r="1857" spans="1:4" x14ac:dyDescent="0.25">
      <c r="A1857" s="1">
        <f t="shared" si="33"/>
        <v>0</v>
      </c>
      <c r="B1857" s="1" t="s">
        <v>33</v>
      </c>
      <c r="C1857" s="1">
        <v>40</v>
      </c>
      <c r="D1857" s="1">
        <v>1</v>
      </c>
    </row>
    <row r="1858" spans="1:4" x14ac:dyDescent="0.25">
      <c r="A1858" s="1">
        <f t="shared" ref="A1858:A1921" si="34">IF(COUNTIF($V$3:$Y$99, $B1858)&lt;&gt;0, ROW($B1858), 0)</f>
        <v>0</v>
      </c>
      <c r="B1858" s="1" t="s">
        <v>26</v>
      </c>
      <c r="C1858" s="1">
        <v>37.5</v>
      </c>
      <c r="D1858" s="1">
        <v>1</v>
      </c>
    </row>
    <row r="1859" spans="1:4" x14ac:dyDescent="0.25">
      <c r="A1859" s="1">
        <f t="shared" si="34"/>
        <v>0</v>
      </c>
      <c r="B1859" s="1" t="s">
        <v>49</v>
      </c>
      <c r="C1859" s="1">
        <v>240</v>
      </c>
      <c r="D1859" s="1">
        <v>6</v>
      </c>
    </row>
    <row r="1860" spans="1:4" x14ac:dyDescent="0.25">
      <c r="A1860" s="1">
        <f t="shared" si="34"/>
        <v>0</v>
      </c>
      <c r="B1860" s="1" t="s">
        <v>40</v>
      </c>
      <c r="C1860" s="1">
        <v>164.4</v>
      </c>
      <c r="D1860" s="1">
        <v>3</v>
      </c>
    </row>
    <row r="1861" spans="1:4" x14ac:dyDescent="0.25">
      <c r="A1861" s="1">
        <f t="shared" si="34"/>
        <v>0</v>
      </c>
      <c r="B1861" s="1" t="s">
        <v>9</v>
      </c>
      <c r="C1861" s="1">
        <v>109.6</v>
      </c>
      <c r="D1861" s="1">
        <v>2</v>
      </c>
    </row>
    <row r="1862" spans="1:4" x14ac:dyDescent="0.25">
      <c r="A1862" s="1">
        <f t="shared" si="34"/>
        <v>0</v>
      </c>
      <c r="B1862" s="1" t="s">
        <v>21</v>
      </c>
      <c r="C1862" s="1">
        <v>164.4</v>
      </c>
      <c r="D1862" s="1">
        <v>3</v>
      </c>
    </row>
    <row r="1863" spans="1:4" x14ac:dyDescent="0.25">
      <c r="A1863" s="1">
        <f t="shared" si="34"/>
        <v>0</v>
      </c>
      <c r="B1863" s="1" t="s">
        <v>6</v>
      </c>
      <c r="C1863" s="1">
        <v>109.6</v>
      </c>
      <c r="D1863" s="1">
        <v>3</v>
      </c>
    </row>
    <row r="1864" spans="1:4" x14ac:dyDescent="0.25">
      <c r="A1864" s="1">
        <f t="shared" si="34"/>
        <v>0</v>
      </c>
      <c r="B1864" s="1" t="s">
        <v>34</v>
      </c>
      <c r="C1864" s="1">
        <v>64</v>
      </c>
      <c r="D1864" s="1">
        <v>1</v>
      </c>
    </row>
    <row r="1865" spans="1:4" x14ac:dyDescent="0.25">
      <c r="A1865" s="1">
        <f t="shared" si="34"/>
        <v>0</v>
      </c>
      <c r="B1865" s="1" t="s">
        <v>54</v>
      </c>
      <c r="C1865" s="1">
        <v>38.4</v>
      </c>
      <c r="D1865" s="1">
        <v>1</v>
      </c>
    </row>
    <row r="1866" spans="1:4" x14ac:dyDescent="0.25">
      <c r="A1866" s="1">
        <f t="shared" si="34"/>
        <v>0</v>
      </c>
      <c r="B1866" s="1" t="s">
        <v>36</v>
      </c>
      <c r="C1866" s="1">
        <v>72.959999999999994</v>
      </c>
      <c r="D1866" s="1">
        <v>2</v>
      </c>
    </row>
    <row r="1867" spans="1:4" x14ac:dyDescent="0.25">
      <c r="A1867" s="1">
        <f t="shared" si="34"/>
        <v>0</v>
      </c>
      <c r="B1867" s="1" t="s">
        <v>47</v>
      </c>
      <c r="C1867" s="1">
        <v>128</v>
      </c>
      <c r="D1867" s="1">
        <v>2</v>
      </c>
    </row>
    <row r="1868" spans="1:4" x14ac:dyDescent="0.25">
      <c r="A1868" s="1">
        <f t="shared" si="34"/>
        <v>0</v>
      </c>
      <c r="B1868" s="1" t="s">
        <v>42</v>
      </c>
      <c r="C1868" s="1">
        <v>40</v>
      </c>
      <c r="D1868" s="1">
        <v>1</v>
      </c>
    </row>
    <row r="1869" spans="1:4" x14ac:dyDescent="0.25">
      <c r="A1869" s="1">
        <f t="shared" si="34"/>
        <v>0</v>
      </c>
      <c r="B1869" s="1" t="s">
        <v>30</v>
      </c>
      <c r="C1869" s="1">
        <v>15.99</v>
      </c>
      <c r="D1869" s="1">
        <v>1</v>
      </c>
    </row>
    <row r="1870" spans="1:4" x14ac:dyDescent="0.25">
      <c r="A1870" s="1">
        <f t="shared" si="34"/>
        <v>0</v>
      </c>
      <c r="B1870" s="1" t="s">
        <v>55</v>
      </c>
      <c r="C1870" s="1">
        <v>38.4</v>
      </c>
      <c r="D1870" s="1">
        <v>2</v>
      </c>
    </row>
    <row r="1871" spans="1:4" x14ac:dyDescent="0.25">
      <c r="A1871" s="1">
        <f t="shared" si="34"/>
        <v>0</v>
      </c>
      <c r="B1871" s="1" t="s">
        <v>22</v>
      </c>
      <c r="C1871" s="1">
        <v>109.6</v>
      </c>
      <c r="D1871" s="1">
        <v>2</v>
      </c>
    </row>
    <row r="1872" spans="1:4" x14ac:dyDescent="0.25">
      <c r="A1872" s="1">
        <f t="shared" si="34"/>
        <v>0</v>
      </c>
      <c r="B1872" s="1" t="s">
        <v>67</v>
      </c>
      <c r="C1872" s="1">
        <v>49.95</v>
      </c>
      <c r="D1872" s="1">
        <v>2</v>
      </c>
    </row>
    <row r="1873" spans="1:4" x14ac:dyDescent="0.25">
      <c r="A1873" s="1">
        <f t="shared" si="34"/>
        <v>0</v>
      </c>
      <c r="B1873" s="1" t="s">
        <v>44</v>
      </c>
      <c r="C1873" s="1">
        <v>76.8</v>
      </c>
      <c r="D1873" s="1">
        <v>3</v>
      </c>
    </row>
    <row r="1874" spans="1:4" x14ac:dyDescent="0.25">
      <c r="A1874" s="1">
        <f t="shared" si="34"/>
        <v>0</v>
      </c>
      <c r="B1874" s="1" t="s">
        <v>62</v>
      </c>
      <c r="C1874" s="1">
        <v>76.8</v>
      </c>
      <c r="D1874" s="1">
        <v>2</v>
      </c>
    </row>
    <row r="1875" spans="1:4" x14ac:dyDescent="0.25">
      <c r="A1875" s="1">
        <f t="shared" si="34"/>
        <v>0</v>
      </c>
      <c r="B1875" s="1" t="s">
        <v>41</v>
      </c>
      <c r="C1875" s="1">
        <v>57.5</v>
      </c>
      <c r="D1875" s="1">
        <v>2</v>
      </c>
    </row>
    <row r="1876" spans="1:4" x14ac:dyDescent="0.25">
      <c r="A1876" s="1">
        <f t="shared" si="34"/>
        <v>1876</v>
      </c>
      <c r="B1876" s="1" t="s">
        <v>143</v>
      </c>
    </row>
    <row r="1877" spans="1:4" x14ac:dyDescent="0.25">
      <c r="A1877" s="1">
        <f t="shared" si="34"/>
        <v>0</v>
      </c>
      <c r="B1877" s="1" t="s">
        <v>1</v>
      </c>
      <c r="C1877" s="1">
        <v>61</v>
      </c>
    </row>
    <row r="1878" spans="1:4" x14ac:dyDescent="0.25">
      <c r="A1878" s="1">
        <f t="shared" si="34"/>
        <v>0</v>
      </c>
      <c r="B1878" s="1" t="s">
        <v>2</v>
      </c>
      <c r="C1878" s="1">
        <v>2330.81</v>
      </c>
    </row>
    <row r="1879" spans="1:4" x14ac:dyDescent="0.25">
      <c r="A1879" s="1">
        <f t="shared" si="34"/>
        <v>0</v>
      </c>
      <c r="B1879" s="1" t="s">
        <v>3</v>
      </c>
      <c r="C1879" s="1" t="s">
        <v>4</v>
      </c>
      <c r="D1879" s="1" t="s">
        <v>5</v>
      </c>
    </row>
    <row r="1880" spans="1:4" x14ac:dyDescent="0.25">
      <c r="A1880" s="1">
        <f t="shared" si="34"/>
        <v>0</v>
      </c>
      <c r="B1880" s="1" t="s">
        <v>15</v>
      </c>
      <c r="C1880" s="1">
        <v>1156</v>
      </c>
      <c r="D1880" s="1">
        <v>30</v>
      </c>
    </row>
    <row r="1881" spans="1:4" x14ac:dyDescent="0.25">
      <c r="A1881" s="1">
        <f t="shared" si="34"/>
        <v>0</v>
      </c>
      <c r="B1881" s="1" t="s">
        <v>20</v>
      </c>
      <c r="C1881" s="1">
        <v>345.6</v>
      </c>
      <c r="D1881" s="1">
        <v>9</v>
      </c>
    </row>
    <row r="1882" spans="1:4" x14ac:dyDescent="0.25">
      <c r="A1882" s="1">
        <f t="shared" si="34"/>
        <v>0</v>
      </c>
      <c r="B1882" s="1" t="s">
        <v>8</v>
      </c>
      <c r="C1882" s="1">
        <v>164.4</v>
      </c>
      <c r="D1882" s="1">
        <v>3</v>
      </c>
    </row>
    <row r="1883" spans="1:4" x14ac:dyDescent="0.25">
      <c r="A1883" s="1">
        <f t="shared" si="34"/>
        <v>0</v>
      </c>
      <c r="B1883" s="1" t="s">
        <v>12</v>
      </c>
      <c r="C1883" s="1">
        <v>140</v>
      </c>
      <c r="D1883" s="1">
        <v>4</v>
      </c>
    </row>
    <row r="1884" spans="1:4" x14ac:dyDescent="0.25">
      <c r="A1884" s="1">
        <f t="shared" si="34"/>
        <v>0</v>
      </c>
      <c r="B1884" s="1" t="s">
        <v>14</v>
      </c>
      <c r="C1884" s="1">
        <v>28.75</v>
      </c>
      <c r="D1884" s="1">
        <v>2</v>
      </c>
    </row>
    <row r="1885" spans="1:4" x14ac:dyDescent="0.25">
      <c r="A1885" s="1">
        <f t="shared" si="34"/>
        <v>0</v>
      </c>
      <c r="B1885" s="1" t="s">
        <v>26</v>
      </c>
      <c r="C1885" s="1">
        <v>37.5</v>
      </c>
      <c r="D1885" s="1">
        <v>1</v>
      </c>
    </row>
    <row r="1886" spans="1:4" x14ac:dyDescent="0.25">
      <c r="A1886" s="1">
        <f t="shared" si="34"/>
        <v>0</v>
      </c>
      <c r="B1886" s="1" t="s">
        <v>49</v>
      </c>
      <c r="C1886" s="1">
        <v>40</v>
      </c>
      <c r="D1886" s="1">
        <v>1</v>
      </c>
    </row>
    <row r="1887" spans="1:4" x14ac:dyDescent="0.25">
      <c r="A1887" s="1">
        <f t="shared" si="34"/>
        <v>0</v>
      </c>
      <c r="B1887" s="1" t="s">
        <v>51</v>
      </c>
      <c r="C1887" s="1">
        <v>38.4</v>
      </c>
      <c r="D1887" s="1">
        <v>1</v>
      </c>
    </row>
    <row r="1888" spans="1:4" x14ac:dyDescent="0.25">
      <c r="A1888" s="1">
        <f t="shared" si="34"/>
        <v>0</v>
      </c>
      <c r="B1888" s="1" t="s">
        <v>31</v>
      </c>
      <c r="C1888" s="1">
        <v>34.56</v>
      </c>
      <c r="D1888" s="1">
        <v>1</v>
      </c>
    </row>
    <row r="1889" spans="1:4" x14ac:dyDescent="0.25">
      <c r="A1889" s="1">
        <f t="shared" si="34"/>
        <v>0</v>
      </c>
      <c r="B1889" s="1" t="s">
        <v>18</v>
      </c>
      <c r="C1889" s="1">
        <v>192</v>
      </c>
      <c r="D1889" s="1">
        <v>5</v>
      </c>
    </row>
    <row r="1890" spans="1:4" x14ac:dyDescent="0.25">
      <c r="A1890" s="1">
        <f t="shared" si="34"/>
        <v>0</v>
      </c>
      <c r="B1890" s="1" t="s">
        <v>56</v>
      </c>
      <c r="C1890" s="1">
        <v>115.2</v>
      </c>
      <c r="D1890" s="1">
        <v>3</v>
      </c>
    </row>
    <row r="1891" spans="1:4" x14ac:dyDescent="0.25">
      <c r="A1891" s="1">
        <f t="shared" si="34"/>
        <v>0</v>
      </c>
      <c r="B1891" s="1" t="s">
        <v>17</v>
      </c>
      <c r="C1891" s="1">
        <v>38.4</v>
      </c>
      <c r="D1891" s="1">
        <v>1</v>
      </c>
    </row>
    <row r="1892" spans="1:4" x14ac:dyDescent="0.25">
      <c r="A1892" s="1">
        <f t="shared" si="34"/>
        <v>1892</v>
      </c>
      <c r="B1892" s="1" t="s">
        <v>144</v>
      </c>
    </row>
    <row r="1893" spans="1:4" x14ac:dyDescent="0.25">
      <c r="A1893" s="1">
        <f t="shared" si="34"/>
        <v>0</v>
      </c>
      <c r="B1893" s="1" t="s">
        <v>1</v>
      </c>
      <c r="C1893" s="1">
        <v>53</v>
      </c>
    </row>
    <row r="1894" spans="1:4" x14ac:dyDescent="0.25">
      <c r="A1894" s="1">
        <f t="shared" si="34"/>
        <v>0</v>
      </c>
      <c r="B1894" s="1" t="s">
        <v>2</v>
      </c>
      <c r="C1894" s="1">
        <v>1937.4</v>
      </c>
    </row>
    <row r="1895" spans="1:4" x14ac:dyDescent="0.25">
      <c r="A1895" s="1">
        <f t="shared" si="34"/>
        <v>0</v>
      </c>
      <c r="B1895" s="1" t="s">
        <v>3</v>
      </c>
      <c r="C1895" s="1" t="s">
        <v>4</v>
      </c>
      <c r="D1895" s="1" t="s">
        <v>5</v>
      </c>
    </row>
    <row r="1896" spans="1:4" x14ac:dyDescent="0.25">
      <c r="A1896" s="1">
        <f t="shared" si="34"/>
        <v>0</v>
      </c>
      <c r="B1896" s="1" t="s">
        <v>8</v>
      </c>
      <c r="C1896" s="1">
        <v>274</v>
      </c>
      <c r="D1896" s="1">
        <v>5</v>
      </c>
    </row>
    <row r="1897" spans="1:4" x14ac:dyDescent="0.25">
      <c r="A1897" s="1">
        <f t="shared" si="34"/>
        <v>0</v>
      </c>
      <c r="B1897" s="1" t="s">
        <v>22</v>
      </c>
      <c r="C1897" s="1">
        <v>54.8</v>
      </c>
      <c r="D1897" s="1">
        <v>1</v>
      </c>
    </row>
    <row r="1898" spans="1:4" x14ac:dyDescent="0.25">
      <c r="A1898" s="1">
        <f t="shared" si="34"/>
        <v>0</v>
      </c>
      <c r="B1898" s="1" t="s">
        <v>18</v>
      </c>
      <c r="C1898" s="1">
        <v>76.8</v>
      </c>
      <c r="D1898" s="1">
        <v>2</v>
      </c>
    </row>
    <row r="1899" spans="1:4" x14ac:dyDescent="0.25">
      <c r="A1899" s="1">
        <f t="shared" si="34"/>
        <v>0</v>
      </c>
      <c r="B1899" s="1" t="s">
        <v>20</v>
      </c>
      <c r="C1899" s="1">
        <v>38.4</v>
      </c>
      <c r="D1899" s="1">
        <v>1</v>
      </c>
    </row>
    <row r="1900" spans="1:4" x14ac:dyDescent="0.25">
      <c r="A1900" s="1">
        <f t="shared" si="34"/>
        <v>0</v>
      </c>
      <c r="B1900" s="1" t="s">
        <v>7</v>
      </c>
      <c r="C1900" s="1">
        <v>54.8</v>
      </c>
      <c r="D1900" s="1">
        <v>1</v>
      </c>
    </row>
    <row r="1901" spans="1:4" x14ac:dyDescent="0.25">
      <c r="A1901" s="1">
        <f t="shared" si="34"/>
        <v>0</v>
      </c>
      <c r="B1901" s="1" t="s">
        <v>17</v>
      </c>
      <c r="C1901" s="1">
        <v>153.6</v>
      </c>
      <c r="D1901" s="1">
        <v>4</v>
      </c>
    </row>
    <row r="1902" spans="1:4" x14ac:dyDescent="0.25">
      <c r="A1902" s="1">
        <f t="shared" si="34"/>
        <v>0</v>
      </c>
      <c r="B1902" s="1" t="s">
        <v>13</v>
      </c>
      <c r="C1902" s="1">
        <v>307.2</v>
      </c>
      <c r="D1902" s="1">
        <v>13</v>
      </c>
    </row>
    <row r="1903" spans="1:4" x14ac:dyDescent="0.25">
      <c r="A1903" s="1">
        <f t="shared" si="34"/>
        <v>0</v>
      </c>
      <c r="B1903" s="1" t="s">
        <v>57</v>
      </c>
      <c r="C1903" s="1">
        <v>440</v>
      </c>
      <c r="D1903" s="1">
        <v>12</v>
      </c>
    </row>
    <row r="1904" spans="1:4" x14ac:dyDescent="0.25">
      <c r="A1904" s="1">
        <f t="shared" si="34"/>
        <v>0</v>
      </c>
      <c r="B1904" s="1" t="s">
        <v>10</v>
      </c>
      <c r="C1904" s="1">
        <v>38.4</v>
      </c>
      <c r="D1904" s="1">
        <v>2</v>
      </c>
    </row>
    <row r="1905" spans="1:4" x14ac:dyDescent="0.25">
      <c r="A1905" s="1">
        <f t="shared" si="34"/>
        <v>0</v>
      </c>
      <c r="B1905" s="1" t="s">
        <v>42</v>
      </c>
      <c r="C1905" s="1">
        <v>40</v>
      </c>
      <c r="D1905" s="1">
        <v>1</v>
      </c>
    </row>
    <row r="1906" spans="1:4" x14ac:dyDescent="0.25">
      <c r="A1906" s="1">
        <f t="shared" si="34"/>
        <v>0</v>
      </c>
      <c r="B1906" s="1" t="s">
        <v>40</v>
      </c>
      <c r="C1906" s="1">
        <v>54.8</v>
      </c>
      <c r="D1906" s="1">
        <v>1</v>
      </c>
    </row>
    <row r="1907" spans="1:4" x14ac:dyDescent="0.25">
      <c r="A1907" s="1">
        <f t="shared" si="34"/>
        <v>0</v>
      </c>
      <c r="B1907" s="1" t="s">
        <v>12</v>
      </c>
      <c r="C1907" s="1">
        <v>35</v>
      </c>
      <c r="D1907" s="1">
        <v>1</v>
      </c>
    </row>
    <row r="1908" spans="1:4" x14ac:dyDescent="0.25">
      <c r="A1908" s="1">
        <f t="shared" si="34"/>
        <v>0</v>
      </c>
      <c r="B1908" s="1" t="s">
        <v>54</v>
      </c>
      <c r="C1908" s="1">
        <v>38.4</v>
      </c>
      <c r="D1908" s="1">
        <v>1</v>
      </c>
    </row>
    <row r="1909" spans="1:4" x14ac:dyDescent="0.25">
      <c r="A1909" s="1">
        <f t="shared" si="34"/>
        <v>0</v>
      </c>
      <c r="B1909" s="1" t="s">
        <v>9</v>
      </c>
      <c r="C1909" s="1">
        <v>54.8</v>
      </c>
      <c r="D1909" s="1">
        <v>1</v>
      </c>
    </row>
    <row r="1910" spans="1:4" x14ac:dyDescent="0.25">
      <c r="A1910" s="1">
        <f t="shared" si="34"/>
        <v>0</v>
      </c>
      <c r="B1910" s="1" t="s">
        <v>21</v>
      </c>
      <c r="C1910" s="1">
        <v>54.8</v>
      </c>
      <c r="D1910" s="1">
        <v>1</v>
      </c>
    </row>
    <row r="1911" spans="1:4" x14ac:dyDescent="0.25">
      <c r="A1911" s="1">
        <f t="shared" si="34"/>
        <v>0</v>
      </c>
      <c r="B1911" s="1" t="s">
        <v>27</v>
      </c>
      <c r="C1911" s="1">
        <v>76.8</v>
      </c>
      <c r="D1911" s="1">
        <v>2</v>
      </c>
    </row>
    <row r="1912" spans="1:4" x14ac:dyDescent="0.25">
      <c r="A1912" s="1">
        <f t="shared" si="34"/>
        <v>0</v>
      </c>
      <c r="B1912" s="1" t="s">
        <v>55</v>
      </c>
      <c r="C1912" s="1">
        <v>38.4</v>
      </c>
      <c r="D1912" s="1">
        <v>2</v>
      </c>
    </row>
    <row r="1913" spans="1:4" x14ac:dyDescent="0.25">
      <c r="A1913" s="1">
        <f t="shared" si="34"/>
        <v>0</v>
      </c>
      <c r="B1913" s="1" t="s">
        <v>15</v>
      </c>
      <c r="C1913" s="1">
        <v>68</v>
      </c>
      <c r="D1913" s="1">
        <v>1</v>
      </c>
    </row>
    <row r="1914" spans="1:4" x14ac:dyDescent="0.25">
      <c r="A1914" s="1">
        <f t="shared" si="34"/>
        <v>0</v>
      </c>
      <c r="B1914" s="1" t="s">
        <v>44</v>
      </c>
      <c r="C1914" s="1">
        <v>38.4</v>
      </c>
      <c r="D1914" s="1">
        <v>1</v>
      </c>
    </row>
    <row r="1915" spans="1:4" x14ac:dyDescent="0.25">
      <c r="A1915" s="1">
        <f t="shared" si="34"/>
        <v>1915</v>
      </c>
      <c r="B1915" s="1" t="s">
        <v>145</v>
      </c>
    </row>
    <row r="1916" spans="1:4" x14ac:dyDescent="0.25">
      <c r="A1916" s="1">
        <f t="shared" si="34"/>
        <v>0</v>
      </c>
      <c r="B1916" s="1" t="s">
        <v>1</v>
      </c>
      <c r="C1916" s="1">
        <v>16</v>
      </c>
    </row>
    <row r="1917" spans="1:4" x14ac:dyDescent="0.25">
      <c r="A1917" s="1">
        <f t="shared" si="34"/>
        <v>0</v>
      </c>
      <c r="B1917" s="1" t="s">
        <v>2</v>
      </c>
      <c r="C1917" s="1">
        <v>648.95000000000005</v>
      </c>
    </row>
    <row r="1918" spans="1:4" x14ac:dyDescent="0.25">
      <c r="A1918" s="1">
        <f t="shared" si="34"/>
        <v>0</v>
      </c>
      <c r="B1918" s="1" t="s">
        <v>3</v>
      </c>
      <c r="C1918" s="1" t="s">
        <v>4</v>
      </c>
      <c r="D1918" s="1" t="s">
        <v>5</v>
      </c>
    </row>
    <row r="1919" spans="1:4" x14ac:dyDescent="0.25">
      <c r="A1919" s="1">
        <f t="shared" si="34"/>
        <v>0</v>
      </c>
      <c r="B1919" s="1" t="s">
        <v>8</v>
      </c>
      <c r="C1919" s="1">
        <v>109.6</v>
      </c>
      <c r="D1919" s="1">
        <v>2</v>
      </c>
    </row>
    <row r="1920" spans="1:4" x14ac:dyDescent="0.25">
      <c r="A1920" s="1">
        <f t="shared" si="34"/>
        <v>0</v>
      </c>
      <c r="B1920" s="1" t="s">
        <v>18</v>
      </c>
      <c r="C1920" s="1">
        <v>76.8</v>
      </c>
      <c r="D1920" s="1">
        <v>2</v>
      </c>
    </row>
    <row r="1921" spans="1:4" x14ac:dyDescent="0.25">
      <c r="A1921" s="1">
        <f t="shared" si="34"/>
        <v>0</v>
      </c>
      <c r="B1921" s="1" t="s">
        <v>17</v>
      </c>
      <c r="C1921" s="1">
        <v>76.8</v>
      </c>
      <c r="D1921" s="1">
        <v>2</v>
      </c>
    </row>
    <row r="1922" spans="1:4" x14ac:dyDescent="0.25">
      <c r="A1922" s="1">
        <f t="shared" ref="A1922:A1985" si="35">IF(COUNTIF($V$3:$Y$99, $B1922)&lt;&gt;0, ROW($B1922), 0)</f>
        <v>0</v>
      </c>
      <c r="B1922" s="1" t="s">
        <v>13</v>
      </c>
      <c r="C1922" s="1">
        <v>38.4</v>
      </c>
      <c r="D1922" s="1">
        <v>1</v>
      </c>
    </row>
    <row r="1923" spans="1:4" x14ac:dyDescent="0.25">
      <c r="A1923" s="1">
        <f t="shared" si="35"/>
        <v>0</v>
      </c>
      <c r="B1923" s="1" t="s">
        <v>41</v>
      </c>
      <c r="C1923" s="1">
        <v>28.75</v>
      </c>
      <c r="D1923" s="1">
        <v>1</v>
      </c>
    </row>
    <row r="1924" spans="1:4" x14ac:dyDescent="0.25">
      <c r="A1924" s="1">
        <f t="shared" si="35"/>
        <v>0</v>
      </c>
      <c r="B1924" s="1" t="s">
        <v>21</v>
      </c>
      <c r="C1924" s="1">
        <v>54.8</v>
      </c>
      <c r="D1924" s="1">
        <v>1</v>
      </c>
    </row>
    <row r="1925" spans="1:4" x14ac:dyDescent="0.25">
      <c r="A1925" s="1">
        <f t="shared" si="35"/>
        <v>0</v>
      </c>
      <c r="B1925" s="1" t="s">
        <v>20</v>
      </c>
      <c r="C1925" s="1">
        <v>153.6</v>
      </c>
      <c r="D1925" s="1">
        <v>4</v>
      </c>
    </row>
    <row r="1926" spans="1:4" x14ac:dyDescent="0.25">
      <c r="A1926" s="1">
        <f t="shared" si="35"/>
        <v>0</v>
      </c>
      <c r="B1926" s="1" t="s">
        <v>16</v>
      </c>
      <c r="C1926" s="1">
        <v>35.200000000000003</v>
      </c>
      <c r="D1926" s="1">
        <v>1</v>
      </c>
    </row>
    <row r="1927" spans="1:4" x14ac:dyDescent="0.25">
      <c r="A1927" s="1">
        <f t="shared" si="35"/>
        <v>0</v>
      </c>
      <c r="B1927" s="1" t="s">
        <v>12</v>
      </c>
      <c r="C1927" s="1">
        <v>35</v>
      </c>
      <c r="D1927" s="1">
        <v>1</v>
      </c>
    </row>
    <row r="1928" spans="1:4" x14ac:dyDescent="0.25">
      <c r="A1928" s="1">
        <f t="shared" si="35"/>
        <v>0</v>
      </c>
      <c r="B1928" s="1" t="s">
        <v>49</v>
      </c>
      <c r="C1928" s="1">
        <v>40</v>
      </c>
      <c r="D1928" s="1">
        <v>1</v>
      </c>
    </row>
    <row r="1929" spans="1:4" x14ac:dyDescent="0.25">
      <c r="A1929" s="1">
        <f t="shared" si="35"/>
        <v>1929</v>
      </c>
      <c r="B1929" s="1" t="s">
        <v>146</v>
      </c>
    </row>
    <row r="1930" spans="1:4" x14ac:dyDescent="0.25">
      <c r="A1930" s="1">
        <f t="shared" si="35"/>
        <v>0</v>
      </c>
      <c r="B1930" s="1" t="s">
        <v>1</v>
      </c>
      <c r="C1930" s="1">
        <v>48</v>
      </c>
    </row>
    <row r="1931" spans="1:4" x14ac:dyDescent="0.25">
      <c r="A1931" s="1">
        <f t="shared" si="35"/>
        <v>0</v>
      </c>
      <c r="B1931" s="1" t="s">
        <v>2</v>
      </c>
      <c r="C1931" s="1">
        <v>2036.75</v>
      </c>
    </row>
    <row r="1932" spans="1:4" x14ac:dyDescent="0.25">
      <c r="A1932" s="1">
        <f t="shared" si="35"/>
        <v>0</v>
      </c>
      <c r="B1932" s="1" t="s">
        <v>3</v>
      </c>
      <c r="C1932" s="1" t="s">
        <v>4</v>
      </c>
      <c r="D1932" s="1" t="s">
        <v>5</v>
      </c>
    </row>
    <row r="1933" spans="1:4" x14ac:dyDescent="0.25">
      <c r="A1933" s="1">
        <f t="shared" si="35"/>
        <v>0</v>
      </c>
      <c r="B1933" s="1" t="s">
        <v>33</v>
      </c>
      <c r="C1933" s="1">
        <v>80</v>
      </c>
      <c r="D1933" s="1">
        <v>2</v>
      </c>
    </row>
    <row r="1934" spans="1:4" x14ac:dyDescent="0.25">
      <c r="A1934" s="1">
        <f t="shared" si="35"/>
        <v>0</v>
      </c>
      <c r="B1934" s="1" t="s">
        <v>22</v>
      </c>
      <c r="C1934" s="1">
        <v>164.4</v>
      </c>
      <c r="D1934" s="1">
        <v>3</v>
      </c>
    </row>
    <row r="1935" spans="1:4" x14ac:dyDescent="0.25">
      <c r="A1935" s="1">
        <f t="shared" si="35"/>
        <v>0</v>
      </c>
      <c r="B1935" s="1" t="s">
        <v>42</v>
      </c>
      <c r="C1935" s="1">
        <v>40</v>
      </c>
      <c r="D1935" s="1">
        <v>1</v>
      </c>
    </row>
    <row r="1936" spans="1:4" x14ac:dyDescent="0.25">
      <c r="A1936" s="1">
        <f t="shared" si="35"/>
        <v>0</v>
      </c>
      <c r="B1936" s="1" t="s">
        <v>20</v>
      </c>
      <c r="C1936" s="1">
        <v>422.4</v>
      </c>
      <c r="D1936" s="1">
        <v>12</v>
      </c>
    </row>
    <row r="1937" spans="1:4" x14ac:dyDescent="0.25">
      <c r="A1937" s="1">
        <f t="shared" si="35"/>
        <v>0</v>
      </c>
      <c r="B1937" s="1" t="s">
        <v>49</v>
      </c>
      <c r="C1937" s="1">
        <v>160</v>
      </c>
      <c r="D1937" s="1">
        <v>4</v>
      </c>
    </row>
    <row r="1938" spans="1:4" x14ac:dyDescent="0.25">
      <c r="A1938" s="1">
        <f t="shared" si="35"/>
        <v>0</v>
      </c>
      <c r="B1938" s="1" t="s">
        <v>8</v>
      </c>
      <c r="C1938" s="1">
        <v>219.2</v>
      </c>
      <c r="D1938" s="1">
        <v>4</v>
      </c>
    </row>
    <row r="1939" spans="1:4" x14ac:dyDescent="0.25">
      <c r="A1939" s="1">
        <f t="shared" si="35"/>
        <v>0</v>
      </c>
      <c r="B1939" s="1" t="s">
        <v>13</v>
      </c>
      <c r="C1939" s="1">
        <v>76.8</v>
      </c>
      <c r="D1939" s="1">
        <v>2</v>
      </c>
    </row>
    <row r="1940" spans="1:4" x14ac:dyDescent="0.25">
      <c r="A1940" s="1">
        <f t="shared" si="35"/>
        <v>0</v>
      </c>
      <c r="B1940" s="1" t="s">
        <v>12</v>
      </c>
      <c r="C1940" s="1">
        <v>70</v>
      </c>
      <c r="D1940" s="1">
        <v>2</v>
      </c>
    </row>
    <row r="1941" spans="1:4" x14ac:dyDescent="0.25">
      <c r="A1941" s="1">
        <f t="shared" si="35"/>
        <v>0</v>
      </c>
      <c r="B1941" s="1" t="s">
        <v>52</v>
      </c>
      <c r="C1941" s="1">
        <v>64</v>
      </c>
      <c r="D1941" s="1">
        <v>1</v>
      </c>
    </row>
    <row r="1942" spans="1:4" x14ac:dyDescent="0.25">
      <c r="A1942" s="1">
        <f t="shared" si="35"/>
        <v>0</v>
      </c>
      <c r="B1942" s="1" t="s">
        <v>18</v>
      </c>
      <c r="C1942" s="1">
        <v>153.6</v>
      </c>
      <c r="D1942" s="1">
        <v>4</v>
      </c>
    </row>
    <row r="1943" spans="1:4" x14ac:dyDescent="0.25">
      <c r="A1943" s="1">
        <f t="shared" si="35"/>
        <v>0</v>
      </c>
      <c r="B1943" s="1" t="s">
        <v>17</v>
      </c>
      <c r="C1943" s="1">
        <v>76.8</v>
      </c>
      <c r="D1943" s="1">
        <v>2</v>
      </c>
    </row>
    <row r="1944" spans="1:4" x14ac:dyDescent="0.25">
      <c r="A1944" s="1">
        <f t="shared" si="35"/>
        <v>0</v>
      </c>
      <c r="B1944" s="1" t="s">
        <v>16</v>
      </c>
      <c r="C1944" s="1">
        <v>35.200000000000003</v>
      </c>
      <c r="D1944" s="1">
        <v>1</v>
      </c>
    </row>
    <row r="1945" spans="1:4" x14ac:dyDescent="0.25">
      <c r="A1945" s="1">
        <f t="shared" si="35"/>
        <v>0</v>
      </c>
      <c r="B1945" s="1" t="s">
        <v>32</v>
      </c>
      <c r="C1945" s="1">
        <v>38.4</v>
      </c>
      <c r="D1945" s="1">
        <v>1</v>
      </c>
    </row>
    <row r="1946" spans="1:4" x14ac:dyDescent="0.25">
      <c r="A1946" s="1">
        <f t="shared" si="35"/>
        <v>0</v>
      </c>
      <c r="B1946" s="1" t="s">
        <v>54</v>
      </c>
      <c r="C1946" s="1">
        <v>76.8</v>
      </c>
      <c r="D1946" s="1">
        <v>2</v>
      </c>
    </row>
    <row r="1947" spans="1:4" x14ac:dyDescent="0.25">
      <c r="A1947" s="1">
        <f t="shared" si="35"/>
        <v>0</v>
      </c>
      <c r="B1947" s="1" t="s">
        <v>36</v>
      </c>
      <c r="C1947" s="1">
        <v>38.4</v>
      </c>
      <c r="D1947" s="1">
        <v>1</v>
      </c>
    </row>
    <row r="1948" spans="1:4" x14ac:dyDescent="0.25">
      <c r="A1948" s="1">
        <f t="shared" si="35"/>
        <v>0</v>
      </c>
      <c r="B1948" s="1" t="s">
        <v>21</v>
      </c>
      <c r="C1948" s="1">
        <v>109.6</v>
      </c>
      <c r="D1948" s="1">
        <v>2</v>
      </c>
    </row>
    <row r="1949" spans="1:4" x14ac:dyDescent="0.25">
      <c r="A1949" s="1">
        <f t="shared" si="35"/>
        <v>0</v>
      </c>
      <c r="B1949" s="1" t="s">
        <v>40</v>
      </c>
      <c r="C1949" s="1">
        <v>54.8</v>
      </c>
      <c r="D1949" s="1">
        <v>1</v>
      </c>
    </row>
    <row r="1950" spans="1:4" x14ac:dyDescent="0.25">
      <c r="A1950" s="1">
        <f t="shared" si="35"/>
        <v>0</v>
      </c>
      <c r="B1950" s="1" t="s">
        <v>56</v>
      </c>
      <c r="C1950" s="1">
        <v>38.4</v>
      </c>
      <c r="D1950" s="1">
        <v>1</v>
      </c>
    </row>
    <row r="1951" spans="1:4" x14ac:dyDescent="0.25">
      <c r="A1951" s="1">
        <f t="shared" si="35"/>
        <v>0</v>
      </c>
      <c r="B1951" s="1" t="s">
        <v>67</v>
      </c>
      <c r="C1951" s="1">
        <v>49.95</v>
      </c>
      <c r="D1951" s="1">
        <v>1</v>
      </c>
    </row>
    <row r="1952" spans="1:4" x14ac:dyDescent="0.25">
      <c r="A1952" s="1">
        <f t="shared" si="35"/>
        <v>0</v>
      </c>
      <c r="B1952" s="1" t="s">
        <v>15</v>
      </c>
      <c r="C1952" s="1">
        <v>68</v>
      </c>
      <c r="D1952" s="1">
        <v>1</v>
      </c>
    </row>
    <row r="1953" spans="1:4" x14ac:dyDescent="0.25">
      <c r="A1953" s="1">
        <f t="shared" si="35"/>
        <v>1953</v>
      </c>
      <c r="B1953" s="1" t="s">
        <v>147</v>
      </c>
    </row>
    <row r="1954" spans="1:4" x14ac:dyDescent="0.25">
      <c r="A1954" s="1">
        <f t="shared" si="35"/>
        <v>0</v>
      </c>
      <c r="B1954" s="1" t="s">
        <v>1</v>
      </c>
      <c r="C1954" s="1">
        <v>35</v>
      </c>
    </row>
    <row r="1955" spans="1:4" x14ac:dyDescent="0.25">
      <c r="A1955" s="1">
        <f t="shared" si="35"/>
        <v>0</v>
      </c>
      <c r="B1955" s="1" t="s">
        <v>2</v>
      </c>
      <c r="C1955" s="1">
        <v>1334.75</v>
      </c>
    </row>
    <row r="1956" spans="1:4" x14ac:dyDescent="0.25">
      <c r="A1956" s="1">
        <f t="shared" si="35"/>
        <v>0</v>
      </c>
      <c r="B1956" s="1" t="s">
        <v>3</v>
      </c>
      <c r="C1956" s="1" t="s">
        <v>4</v>
      </c>
      <c r="D1956" s="1" t="s">
        <v>5</v>
      </c>
    </row>
    <row r="1957" spans="1:4" x14ac:dyDescent="0.25">
      <c r="A1957" s="1">
        <f t="shared" si="35"/>
        <v>0</v>
      </c>
      <c r="B1957" s="1" t="s">
        <v>22</v>
      </c>
      <c r="C1957" s="1">
        <v>54.8</v>
      </c>
      <c r="D1957" s="1">
        <v>1</v>
      </c>
    </row>
    <row r="1958" spans="1:4" x14ac:dyDescent="0.25">
      <c r="A1958" s="1">
        <f t="shared" si="35"/>
        <v>0</v>
      </c>
      <c r="B1958" s="1" t="s">
        <v>8</v>
      </c>
      <c r="C1958" s="1">
        <v>274</v>
      </c>
      <c r="D1958" s="1">
        <v>5</v>
      </c>
    </row>
    <row r="1959" spans="1:4" x14ac:dyDescent="0.25">
      <c r="A1959" s="1">
        <f t="shared" si="35"/>
        <v>0</v>
      </c>
      <c r="B1959" s="1" t="s">
        <v>49</v>
      </c>
      <c r="C1959" s="1">
        <v>80</v>
      </c>
      <c r="D1959" s="1">
        <v>2</v>
      </c>
    </row>
    <row r="1960" spans="1:4" x14ac:dyDescent="0.25">
      <c r="A1960" s="1">
        <f t="shared" si="35"/>
        <v>0</v>
      </c>
      <c r="B1960" s="1" t="s">
        <v>20</v>
      </c>
      <c r="C1960" s="1">
        <v>307.2</v>
      </c>
      <c r="D1960" s="1">
        <v>11</v>
      </c>
    </row>
    <row r="1961" spans="1:4" x14ac:dyDescent="0.25">
      <c r="A1961" s="1">
        <f t="shared" si="35"/>
        <v>0</v>
      </c>
      <c r="B1961" s="1" t="s">
        <v>27</v>
      </c>
      <c r="C1961" s="1">
        <v>38.4</v>
      </c>
      <c r="D1961" s="1">
        <v>1</v>
      </c>
    </row>
    <row r="1962" spans="1:4" x14ac:dyDescent="0.25">
      <c r="A1962" s="1">
        <f t="shared" si="35"/>
        <v>0</v>
      </c>
      <c r="B1962" s="1" t="s">
        <v>18</v>
      </c>
      <c r="C1962" s="1">
        <v>115.2</v>
      </c>
      <c r="D1962" s="1">
        <v>4</v>
      </c>
    </row>
    <row r="1963" spans="1:4" x14ac:dyDescent="0.25">
      <c r="A1963" s="1">
        <f t="shared" si="35"/>
        <v>0</v>
      </c>
      <c r="B1963" s="1" t="s">
        <v>17</v>
      </c>
      <c r="C1963" s="1">
        <v>76.8</v>
      </c>
      <c r="D1963" s="1">
        <v>2</v>
      </c>
    </row>
    <row r="1964" spans="1:4" x14ac:dyDescent="0.25">
      <c r="A1964" s="1">
        <f t="shared" si="35"/>
        <v>0</v>
      </c>
      <c r="B1964" s="1" t="s">
        <v>12</v>
      </c>
      <c r="C1964" s="1">
        <v>70</v>
      </c>
      <c r="D1964" s="1">
        <v>2</v>
      </c>
    </row>
    <row r="1965" spans="1:4" x14ac:dyDescent="0.25">
      <c r="A1965" s="1">
        <f t="shared" si="35"/>
        <v>0</v>
      </c>
      <c r="B1965" s="1" t="s">
        <v>35</v>
      </c>
      <c r="C1965" s="1">
        <v>38.4</v>
      </c>
      <c r="D1965" s="1">
        <v>1</v>
      </c>
    </row>
    <row r="1966" spans="1:4" x14ac:dyDescent="0.25">
      <c r="A1966" s="1">
        <f t="shared" si="35"/>
        <v>0</v>
      </c>
      <c r="B1966" s="1" t="s">
        <v>15</v>
      </c>
      <c r="C1966" s="1">
        <v>136</v>
      </c>
      <c r="D1966" s="1">
        <v>2</v>
      </c>
    </row>
    <row r="1967" spans="1:4" x14ac:dyDescent="0.25">
      <c r="A1967" s="1">
        <f t="shared" si="35"/>
        <v>0</v>
      </c>
      <c r="B1967" s="1" t="s">
        <v>62</v>
      </c>
      <c r="C1967" s="1">
        <v>38.4</v>
      </c>
      <c r="D1967" s="1">
        <v>1</v>
      </c>
    </row>
    <row r="1968" spans="1:4" x14ac:dyDescent="0.25">
      <c r="A1968" s="1">
        <f t="shared" si="35"/>
        <v>0</v>
      </c>
      <c r="B1968" s="1" t="s">
        <v>44</v>
      </c>
      <c r="C1968" s="1">
        <v>38.4</v>
      </c>
      <c r="D1968" s="1">
        <v>1</v>
      </c>
    </row>
    <row r="1969" spans="1:4" x14ac:dyDescent="0.25">
      <c r="A1969" s="1">
        <f t="shared" si="35"/>
        <v>0</v>
      </c>
      <c r="B1969" s="1" t="s">
        <v>45</v>
      </c>
      <c r="C1969" s="1">
        <v>28.75</v>
      </c>
      <c r="D1969" s="1">
        <v>1</v>
      </c>
    </row>
    <row r="1970" spans="1:4" x14ac:dyDescent="0.25">
      <c r="A1970" s="1">
        <f t="shared" si="35"/>
        <v>0</v>
      </c>
      <c r="B1970" s="1" t="s">
        <v>54</v>
      </c>
      <c r="C1970" s="1">
        <v>38.4</v>
      </c>
      <c r="D1970" s="1">
        <v>1</v>
      </c>
    </row>
    <row r="1971" spans="1:4" x14ac:dyDescent="0.25">
      <c r="A1971" s="1">
        <f t="shared" si="35"/>
        <v>1971</v>
      </c>
      <c r="B1971" s="1" t="s">
        <v>148</v>
      </c>
    </row>
    <row r="1972" spans="1:4" x14ac:dyDescent="0.25">
      <c r="A1972" s="1">
        <f t="shared" si="35"/>
        <v>0</v>
      </c>
      <c r="B1972" s="1" t="s">
        <v>1</v>
      </c>
      <c r="C1972" s="1">
        <v>21</v>
      </c>
    </row>
    <row r="1973" spans="1:4" x14ac:dyDescent="0.25">
      <c r="A1973" s="1">
        <f t="shared" si="35"/>
        <v>0</v>
      </c>
      <c r="B1973" s="1" t="s">
        <v>2</v>
      </c>
      <c r="C1973" s="1">
        <v>785.74</v>
      </c>
    </row>
    <row r="1974" spans="1:4" x14ac:dyDescent="0.25">
      <c r="A1974" s="1">
        <f t="shared" si="35"/>
        <v>0</v>
      </c>
      <c r="B1974" s="1" t="s">
        <v>3</v>
      </c>
      <c r="C1974" s="1" t="s">
        <v>4</v>
      </c>
      <c r="D1974" s="1" t="s">
        <v>5</v>
      </c>
    </row>
    <row r="1975" spans="1:4" x14ac:dyDescent="0.25">
      <c r="A1975" s="1">
        <f t="shared" si="35"/>
        <v>0</v>
      </c>
      <c r="B1975" s="1" t="s">
        <v>20</v>
      </c>
      <c r="C1975" s="1">
        <v>115.2</v>
      </c>
      <c r="D1975" s="1">
        <v>4</v>
      </c>
    </row>
    <row r="1976" spans="1:4" x14ac:dyDescent="0.25">
      <c r="A1976" s="1">
        <f t="shared" si="35"/>
        <v>0</v>
      </c>
      <c r="B1976" s="1" t="s">
        <v>12</v>
      </c>
      <c r="C1976" s="1">
        <v>35</v>
      </c>
      <c r="D1976" s="1">
        <v>1</v>
      </c>
    </row>
    <row r="1977" spans="1:4" x14ac:dyDescent="0.25">
      <c r="A1977" s="1">
        <f t="shared" si="35"/>
        <v>0</v>
      </c>
      <c r="B1977" s="1" t="s">
        <v>30</v>
      </c>
      <c r="C1977" s="1">
        <v>15.99</v>
      </c>
      <c r="D1977" s="1">
        <v>1</v>
      </c>
    </row>
    <row r="1978" spans="1:4" x14ac:dyDescent="0.25">
      <c r="A1978" s="1">
        <f t="shared" si="35"/>
        <v>0</v>
      </c>
      <c r="B1978" s="1" t="s">
        <v>8</v>
      </c>
      <c r="C1978" s="1">
        <v>219.2</v>
      </c>
      <c r="D1978" s="1">
        <v>5</v>
      </c>
    </row>
    <row r="1979" spans="1:4" x14ac:dyDescent="0.25">
      <c r="A1979" s="1">
        <f t="shared" si="35"/>
        <v>0</v>
      </c>
      <c r="B1979" s="1" t="s">
        <v>18</v>
      </c>
      <c r="C1979" s="1">
        <v>76.8</v>
      </c>
      <c r="D1979" s="1">
        <v>2</v>
      </c>
    </row>
    <row r="1980" spans="1:4" x14ac:dyDescent="0.25">
      <c r="A1980" s="1">
        <f t="shared" si="35"/>
        <v>0</v>
      </c>
      <c r="B1980" s="1" t="s">
        <v>17</v>
      </c>
      <c r="C1980" s="1">
        <v>115.2</v>
      </c>
      <c r="D1980" s="1">
        <v>3</v>
      </c>
    </row>
    <row r="1981" spans="1:4" x14ac:dyDescent="0.25">
      <c r="A1981" s="1">
        <f t="shared" si="35"/>
        <v>0</v>
      </c>
      <c r="B1981" s="1" t="s">
        <v>33</v>
      </c>
      <c r="C1981" s="1">
        <v>80</v>
      </c>
      <c r="D1981" s="1">
        <v>2</v>
      </c>
    </row>
    <row r="1982" spans="1:4" x14ac:dyDescent="0.25">
      <c r="A1982" s="1">
        <f t="shared" si="35"/>
        <v>0</v>
      </c>
      <c r="B1982" s="1" t="s">
        <v>67</v>
      </c>
      <c r="C1982" s="1">
        <v>49.95</v>
      </c>
      <c r="D1982" s="1">
        <v>1</v>
      </c>
    </row>
    <row r="1983" spans="1:4" x14ac:dyDescent="0.25">
      <c r="A1983" s="1">
        <f t="shared" si="35"/>
        <v>0</v>
      </c>
      <c r="B1983" s="1" t="s">
        <v>54</v>
      </c>
      <c r="C1983" s="1">
        <v>38.4</v>
      </c>
      <c r="D1983" s="1">
        <v>1</v>
      </c>
    </row>
    <row r="1984" spans="1:4" x14ac:dyDescent="0.25">
      <c r="A1984" s="1">
        <f t="shared" si="35"/>
        <v>0</v>
      </c>
      <c r="B1984" s="1" t="s">
        <v>49</v>
      </c>
      <c r="C1984" s="1">
        <v>40</v>
      </c>
      <c r="D1984" s="1">
        <v>1</v>
      </c>
    </row>
    <row r="1985" spans="1:4" x14ac:dyDescent="0.25">
      <c r="A1985" s="1">
        <f t="shared" si="35"/>
        <v>1985</v>
      </c>
      <c r="B1985" s="1" t="s">
        <v>149</v>
      </c>
    </row>
    <row r="1986" spans="1:4" x14ac:dyDescent="0.25">
      <c r="A1986" s="1">
        <f t="shared" ref="A1986:A2049" si="36">IF(COUNTIF($V$3:$Y$99, $B1986)&lt;&gt;0, ROW($B1986), 0)</f>
        <v>0</v>
      </c>
      <c r="B1986" s="1" t="s">
        <v>1</v>
      </c>
      <c r="C1986" s="1">
        <v>48</v>
      </c>
    </row>
    <row r="1987" spans="1:4" x14ac:dyDescent="0.25">
      <c r="A1987" s="1">
        <f t="shared" si="36"/>
        <v>0</v>
      </c>
      <c r="B1987" s="1" t="s">
        <v>2</v>
      </c>
      <c r="C1987" s="1">
        <v>2029.9</v>
      </c>
    </row>
    <row r="1988" spans="1:4" x14ac:dyDescent="0.25">
      <c r="A1988" s="1">
        <f t="shared" si="36"/>
        <v>0</v>
      </c>
      <c r="B1988" s="1" t="s">
        <v>3</v>
      </c>
      <c r="C1988" s="1" t="s">
        <v>4</v>
      </c>
      <c r="D1988" s="1" t="s">
        <v>5</v>
      </c>
    </row>
    <row r="1989" spans="1:4" x14ac:dyDescent="0.25">
      <c r="A1989" s="1">
        <f t="shared" si="36"/>
        <v>0</v>
      </c>
      <c r="B1989" s="1" t="s">
        <v>8</v>
      </c>
      <c r="C1989" s="1">
        <v>438.4</v>
      </c>
      <c r="D1989" s="1">
        <v>8</v>
      </c>
    </row>
    <row r="1990" spans="1:4" x14ac:dyDescent="0.25">
      <c r="A1990" s="1">
        <f t="shared" si="36"/>
        <v>0</v>
      </c>
      <c r="B1990" s="1" t="s">
        <v>15</v>
      </c>
      <c r="C1990" s="1">
        <v>68</v>
      </c>
      <c r="D1990" s="1">
        <v>1</v>
      </c>
    </row>
    <row r="1991" spans="1:4" x14ac:dyDescent="0.25">
      <c r="A1991" s="1">
        <f t="shared" si="36"/>
        <v>0</v>
      </c>
      <c r="B1991" s="1" t="s">
        <v>7</v>
      </c>
      <c r="C1991" s="1">
        <v>54.8</v>
      </c>
      <c r="D1991" s="1">
        <v>1</v>
      </c>
    </row>
    <row r="1992" spans="1:4" x14ac:dyDescent="0.25">
      <c r="A1992" s="1">
        <f t="shared" si="36"/>
        <v>0</v>
      </c>
      <c r="B1992" s="1" t="s">
        <v>20</v>
      </c>
      <c r="C1992" s="1">
        <v>384</v>
      </c>
      <c r="D1992" s="1">
        <v>11</v>
      </c>
    </row>
    <row r="1993" spans="1:4" x14ac:dyDescent="0.25">
      <c r="A1993" s="1">
        <f t="shared" si="36"/>
        <v>0</v>
      </c>
      <c r="B1993" s="1" t="s">
        <v>17</v>
      </c>
      <c r="C1993" s="1">
        <v>38.4</v>
      </c>
      <c r="D1993" s="1">
        <v>1</v>
      </c>
    </row>
    <row r="1994" spans="1:4" x14ac:dyDescent="0.25">
      <c r="A1994" s="1">
        <f t="shared" si="36"/>
        <v>0</v>
      </c>
      <c r="B1994" s="1" t="s">
        <v>13</v>
      </c>
      <c r="C1994" s="1">
        <v>76.8</v>
      </c>
      <c r="D1994" s="1">
        <v>2</v>
      </c>
    </row>
    <row r="1995" spans="1:4" x14ac:dyDescent="0.25">
      <c r="A1995" s="1">
        <f t="shared" si="36"/>
        <v>0</v>
      </c>
      <c r="B1995" s="1" t="s">
        <v>18</v>
      </c>
      <c r="C1995" s="1">
        <v>76.8</v>
      </c>
      <c r="D1995" s="1">
        <v>2</v>
      </c>
    </row>
    <row r="1996" spans="1:4" x14ac:dyDescent="0.25">
      <c r="A1996" s="1">
        <f t="shared" si="36"/>
        <v>0</v>
      </c>
      <c r="B1996" s="1" t="s">
        <v>63</v>
      </c>
      <c r="C1996" s="1">
        <v>38.4</v>
      </c>
      <c r="D1996" s="1">
        <v>1</v>
      </c>
    </row>
    <row r="1997" spans="1:4" x14ac:dyDescent="0.25">
      <c r="A1997" s="1">
        <f t="shared" si="36"/>
        <v>0</v>
      </c>
      <c r="B1997" s="1" t="s">
        <v>19</v>
      </c>
      <c r="C1997" s="1">
        <v>28.75</v>
      </c>
      <c r="D1997" s="1">
        <v>1</v>
      </c>
    </row>
    <row r="1998" spans="1:4" x14ac:dyDescent="0.25">
      <c r="A1998" s="1">
        <f t="shared" si="36"/>
        <v>0</v>
      </c>
      <c r="B1998" s="1" t="s">
        <v>52</v>
      </c>
      <c r="C1998" s="1">
        <v>64</v>
      </c>
      <c r="D1998" s="1">
        <v>1</v>
      </c>
    </row>
    <row r="1999" spans="1:4" x14ac:dyDescent="0.25">
      <c r="A1999" s="1">
        <f t="shared" si="36"/>
        <v>0</v>
      </c>
      <c r="B1999" s="1" t="s">
        <v>16</v>
      </c>
      <c r="C1999" s="1">
        <v>35.200000000000003</v>
      </c>
      <c r="D1999" s="1">
        <v>1</v>
      </c>
    </row>
    <row r="2000" spans="1:4" x14ac:dyDescent="0.25">
      <c r="A2000" s="1">
        <f t="shared" si="36"/>
        <v>0</v>
      </c>
      <c r="B2000" s="1" t="s">
        <v>35</v>
      </c>
      <c r="C2000" s="1">
        <v>38.4</v>
      </c>
      <c r="D2000" s="1">
        <v>1</v>
      </c>
    </row>
    <row r="2001" spans="1:4" x14ac:dyDescent="0.25">
      <c r="A2001" s="1">
        <f t="shared" si="36"/>
        <v>0</v>
      </c>
      <c r="B2001" s="1" t="s">
        <v>49</v>
      </c>
      <c r="C2001" s="1">
        <v>80</v>
      </c>
      <c r="D2001" s="1">
        <v>2</v>
      </c>
    </row>
    <row r="2002" spans="1:4" x14ac:dyDescent="0.25">
      <c r="A2002" s="1">
        <f t="shared" si="36"/>
        <v>0</v>
      </c>
      <c r="B2002" s="1" t="s">
        <v>32</v>
      </c>
      <c r="C2002" s="1">
        <v>76.8</v>
      </c>
      <c r="D2002" s="1">
        <v>2</v>
      </c>
    </row>
    <row r="2003" spans="1:4" x14ac:dyDescent="0.25">
      <c r="A2003" s="1">
        <f t="shared" si="36"/>
        <v>0</v>
      </c>
      <c r="B2003" s="1" t="s">
        <v>22</v>
      </c>
      <c r="C2003" s="1">
        <v>109.6</v>
      </c>
      <c r="D2003" s="1">
        <v>3</v>
      </c>
    </row>
    <row r="2004" spans="1:4" x14ac:dyDescent="0.25">
      <c r="A2004" s="1">
        <f t="shared" si="36"/>
        <v>0</v>
      </c>
      <c r="B2004" s="1" t="s">
        <v>12</v>
      </c>
      <c r="C2004" s="1">
        <v>70</v>
      </c>
      <c r="D2004" s="1">
        <v>2</v>
      </c>
    </row>
    <row r="2005" spans="1:4" x14ac:dyDescent="0.25">
      <c r="A2005" s="1">
        <f t="shared" si="36"/>
        <v>0</v>
      </c>
      <c r="B2005" s="1" t="s">
        <v>54</v>
      </c>
      <c r="C2005" s="1">
        <v>153.6</v>
      </c>
      <c r="D2005" s="1">
        <v>4</v>
      </c>
    </row>
    <row r="2006" spans="1:4" x14ac:dyDescent="0.25">
      <c r="A2006" s="1">
        <f t="shared" si="36"/>
        <v>0</v>
      </c>
      <c r="B2006" s="1" t="s">
        <v>40</v>
      </c>
      <c r="C2006" s="1">
        <v>54.8</v>
      </c>
      <c r="D2006" s="1">
        <v>1</v>
      </c>
    </row>
    <row r="2007" spans="1:4" x14ac:dyDescent="0.25">
      <c r="A2007" s="1">
        <f t="shared" si="36"/>
        <v>0</v>
      </c>
      <c r="B2007" s="1" t="s">
        <v>67</v>
      </c>
      <c r="C2007" s="1">
        <v>49.95</v>
      </c>
      <c r="D2007" s="1">
        <v>1</v>
      </c>
    </row>
    <row r="2008" spans="1:4" x14ac:dyDescent="0.25">
      <c r="A2008" s="1">
        <f t="shared" si="36"/>
        <v>0</v>
      </c>
      <c r="B2008" s="1" t="s">
        <v>21</v>
      </c>
      <c r="C2008" s="1">
        <v>54.8</v>
      </c>
      <c r="D2008" s="1">
        <v>1</v>
      </c>
    </row>
    <row r="2009" spans="1:4" x14ac:dyDescent="0.25">
      <c r="A2009" s="1">
        <f t="shared" si="36"/>
        <v>0</v>
      </c>
      <c r="B2009" s="1" t="s">
        <v>56</v>
      </c>
      <c r="C2009" s="1">
        <v>38.4</v>
      </c>
      <c r="D2009" s="1">
        <v>1</v>
      </c>
    </row>
    <row r="2010" spans="1:4" x14ac:dyDescent="0.25">
      <c r="A2010" s="1">
        <f t="shared" si="36"/>
        <v>2010</v>
      </c>
      <c r="B2010" s="1" t="s">
        <v>150</v>
      </c>
    </row>
    <row r="2011" spans="1:4" x14ac:dyDescent="0.25">
      <c r="A2011" s="1">
        <f t="shared" si="36"/>
        <v>0</v>
      </c>
      <c r="B2011" s="1" t="s">
        <v>1</v>
      </c>
      <c r="C2011" s="1">
        <v>10</v>
      </c>
    </row>
    <row r="2012" spans="1:4" x14ac:dyDescent="0.25">
      <c r="A2012" s="1">
        <f t="shared" si="36"/>
        <v>0</v>
      </c>
      <c r="B2012" s="1" t="s">
        <v>2</v>
      </c>
      <c r="C2012" s="1">
        <v>426.75</v>
      </c>
    </row>
    <row r="2013" spans="1:4" x14ac:dyDescent="0.25">
      <c r="A2013" s="1">
        <f t="shared" si="36"/>
        <v>0</v>
      </c>
      <c r="B2013" s="1" t="s">
        <v>3</v>
      </c>
      <c r="C2013" s="1" t="s">
        <v>4</v>
      </c>
      <c r="D2013" s="1" t="s">
        <v>5</v>
      </c>
    </row>
    <row r="2014" spans="1:4" x14ac:dyDescent="0.25">
      <c r="A2014" s="1">
        <f t="shared" si="36"/>
        <v>0</v>
      </c>
      <c r="B2014" s="1" t="s">
        <v>21</v>
      </c>
      <c r="C2014" s="1">
        <v>54.8</v>
      </c>
      <c r="D2014" s="1">
        <v>1</v>
      </c>
    </row>
    <row r="2015" spans="1:4" x14ac:dyDescent="0.25">
      <c r="A2015" s="1">
        <f t="shared" si="36"/>
        <v>0</v>
      </c>
      <c r="B2015" s="1" t="s">
        <v>51</v>
      </c>
      <c r="C2015" s="1">
        <v>38.4</v>
      </c>
      <c r="D2015" s="1">
        <v>1</v>
      </c>
    </row>
    <row r="2016" spans="1:4" x14ac:dyDescent="0.25">
      <c r="A2016" s="1">
        <f t="shared" si="36"/>
        <v>0</v>
      </c>
      <c r="B2016" s="1" t="s">
        <v>7</v>
      </c>
      <c r="C2016" s="1">
        <v>109.6</v>
      </c>
      <c r="D2016" s="1">
        <v>2</v>
      </c>
    </row>
    <row r="2017" spans="1:4" x14ac:dyDescent="0.25">
      <c r="A2017" s="1">
        <f t="shared" si="36"/>
        <v>0</v>
      </c>
      <c r="B2017" s="1" t="s">
        <v>20</v>
      </c>
      <c r="C2017" s="1">
        <v>115.2</v>
      </c>
      <c r="D2017" s="1">
        <v>3</v>
      </c>
    </row>
    <row r="2018" spans="1:4" x14ac:dyDescent="0.25">
      <c r="A2018" s="1">
        <f t="shared" si="36"/>
        <v>0</v>
      </c>
      <c r="B2018" s="1" t="s">
        <v>49</v>
      </c>
      <c r="C2018" s="1">
        <v>40</v>
      </c>
      <c r="D2018" s="1">
        <v>1</v>
      </c>
    </row>
    <row r="2019" spans="1:4" x14ac:dyDescent="0.25">
      <c r="A2019" s="1">
        <f t="shared" si="36"/>
        <v>0</v>
      </c>
      <c r="B2019" s="1" t="s">
        <v>71</v>
      </c>
      <c r="C2019" s="1">
        <v>40</v>
      </c>
      <c r="D2019" s="1">
        <v>1</v>
      </c>
    </row>
    <row r="2020" spans="1:4" x14ac:dyDescent="0.25">
      <c r="A2020" s="1">
        <f t="shared" si="36"/>
        <v>0</v>
      </c>
      <c r="B2020" s="1" t="s">
        <v>41</v>
      </c>
      <c r="C2020" s="1">
        <v>28.75</v>
      </c>
      <c r="D2020" s="1">
        <v>1</v>
      </c>
    </row>
    <row r="2021" spans="1:4" x14ac:dyDescent="0.25">
      <c r="A2021" s="1">
        <f t="shared" si="36"/>
        <v>2021</v>
      </c>
      <c r="B2021" s="1" t="s">
        <v>151</v>
      </c>
    </row>
    <row r="2022" spans="1:4" x14ac:dyDescent="0.25">
      <c r="A2022" s="1">
        <f t="shared" si="36"/>
        <v>0</v>
      </c>
      <c r="B2022" s="1" t="s">
        <v>1</v>
      </c>
      <c r="C2022" s="1">
        <v>47</v>
      </c>
    </row>
    <row r="2023" spans="1:4" x14ac:dyDescent="0.25">
      <c r="A2023" s="1">
        <f t="shared" si="36"/>
        <v>0</v>
      </c>
      <c r="B2023" s="1" t="s">
        <v>2</v>
      </c>
      <c r="C2023" s="1">
        <v>1940.8</v>
      </c>
    </row>
    <row r="2024" spans="1:4" x14ac:dyDescent="0.25">
      <c r="A2024" s="1">
        <f t="shared" si="36"/>
        <v>0</v>
      </c>
      <c r="B2024" s="1" t="s">
        <v>3</v>
      </c>
      <c r="C2024" s="1" t="s">
        <v>4</v>
      </c>
      <c r="D2024" s="1" t="s">
        <v>5</v>
      </c>
    </row>
    <row r="2025" spans="1:4" x14ac:dyDescent="0.25">
      <c r="A2025" s="1">
        <f t="shared" si="36"/>
        <v>0</v>
      </c>
      <c r="B2025" s="1" t="s">
        <v>20</v>
      </c>
      <c r="C2025" s="1">
        <v>230.4</v>
      </c>
      <c r="D2025" s="1">
        <v>8</v>
      </c>
    </row>
    <row r="2026" spans="1:4" x14ac:dyDescent="0.25">
      <c r="A2026" s="1">
        <f t="shared" si="36"/>
        <v>0</v>
      </c>
      <c r="B2026" s="1" t="s">
        <v>12</v>
      </c>
      <c r="C2026" s="1">
        <v>105</v>
      </c>
      <c r="D2026" s="1">
        <v>3</v>
      </c>
    </row>
    <row r="2027" spans="1:4" x14ac:dyDescent="0.25">
      <c r="A2027" s="1">
        <f t="shared" si="36"/>
        <v>0</v>
      </c>
      <c r="B2027" s="1" t="s">
        <v>62</v>
      </c>
      <c r="C2027" s="1">
        <v>38.4</v>
      </c>
      <c r="D2027" s="1">
        <v>2</v>
      </c>
    </row>
    <row r="2028" spans="1:4" x14ac:dyDescent="0.25">
      <c r="A2028" s="1">
        <f t="shared" si="36"/>
        <v>0</v>
      </c>
      <c r="B2028" s="1" t="s">
        <v>51</v>
      </c>
      <c r="C2028" s="1">
        <v>153.6</v>
      </c>
      <c r="D2028" s="1">
        <v>4</v>
      </c>
    </row>
    <row r="2029" spans="1:4" x14ac:dyDescent="0.25">
      <c r="A2029" s="1">
        <f t="shared" si="36"/>
        <v>0</v>
      </c>
      <c r="B2029" s="1" t="s">
        <v>10</v>
      </c>
      <c r="C2029" s="1">
        <v>76.8</v>
      </c>
      <c r="D2029" s="1">
        <v>2</v>
      </c>
    </row>
    <row r="2030" spans="1:4" x14ac:dyDescent="0.25">
      <c r="A2030" s="1">
        <f t="shared" si="36"/>
        <v>0</v>
      </c>
      <c r="B2030" s="1" t="s">
        <v>22</v>
      </c>
      <c r="C2030" s="1">
        <v>109.6</v>
      </c>
      <c r="D2030" s="1">
        <v>2</v>
      </c>
    </row>
    <row r="2031" spans="1:4" x14ac:dyDescent="0.25">
      <c r="A2031" s="1">
        <f t="shared" si="36"/>
        <v>0</v>
      </c>
      <c r="B2031" s="1" t="s">
        <v>7</v>
      </c>
      <c r="C2031" s="1">
        <v>164.4</v>
      </c>
      <c r="D2031" s="1">
        <v>3</v>
      </c>
    </row>
    <row r="2032" spans="1:4" x14ac:dyDescent="0.25">
      <c r="A2032" s="1">
        <f t="shared" si="36"/>
        <v>0</v>
      </c>
      <c r="B2032" s="1" t="s">
        <v>26</v>
      </c>
      <c r="C2032" s="1">
        <v>37.5</v>
      </c>
      <c r="D2032" s="1">
        <v>1</v>
      </c>
    </row>
    <row r="2033" spans="1:4" x14ac:dyDescent="0.25">
      <c r="A2033" s="1">
        <f t="shared" si="36"/>
        <v>0</v>
      </c>
      <c r="B2033" s="1" t="s">
        <v>8</v>
      </c>
      <c r="C2033" s="1">
        <v>164.4</v>
      </c>
      <c r="D2033" s="1">
        <v>3</v>
      </c>
    </row>
    <row r="2034" spans="1:4" x14ac:dyDescent="0.25">
      <c r="A2034" s="1">
        <f t="shared" si="36"/>
        <v>0</v>
      </c>
      <c r="B2034" s="1" t="s">
        <v>40</v>
      </c>
      <c r="C2034" s="1">
        <v>164.4</v>
      </c>
      <c r="D2034" s="1">
        <v>3</v>
      </c>
    </row>
    <row r="2035" spans="1:4" x14ac:dyDescent="0.25">
      <c r="A2035" s="1">
        <f t="shared" si="36"/>
        <v>0</v>
      </c>
      <c r="B2035" s="1" t="s">
        <v>27</v>
      </c>
      <c r="C2035" s="1">
        <v>76.8</v>
      </c>
      <c r="D2035" s="1">
        <v>2</v>
      </c>
    </row>
    <row r="2036" spans="1:4" x14ac:dyDescent="0.25">
      <c r="A2036" s="1">
        <f t="shared" si="36"/>
        <v>0</v>
      </c>
      <c r="B2036" s="1" t="s">
        <v>52</v>
      </c>
      <c r="C2036" s="1">
        <v>64</v>
      </c>
      <c r="D2036" s="1">
        <v>1</v>
      </c>
    </row>
    <row r="2037" spans="1:4" x14ac:dyDescent="0.25">
      <c r="A2037" s="1">
        <f t="shared" si="36"/>
        <v>0</v>
      </c>
      <c r="B2037" s="1" t="s">
        <v>54</v>
      </c>
      <c r="C2037" s="1">
        <v>38.4</v>
      </c>
      <c r="D2037" s="1">
        <v>1</v>
      </c>
    </row>
    <row r="2038" spans="1:4" x14ac:dyDescent="0.25">
      <c r="A2038" s="1">
        <f t="shared" si="36"/>
        <v>0</v>
      </c>
      <c r="B2038" s="1" t="s">
        <v>17</v>
      </c>
      <c r="C2038" s="1">
        <v>153.6</v>
      </c>
      <c r="D2038" s="1">
        <v>4</v>
      </c>
    </row>
    <row r="2039" spans="1:4" x14ac:dyDescent="0.25">
      <c r="A2039" s="1">
        <f t="shared" si="36"/>
        <v>0</v>
      </c>
      <c r="B2039" s="1" t="s">
        <v>6</v>
      </c>
      <c r="C2039" s="1">
        <v>54.8</v>
      </c>
      <c r="D2039" s="1">
        <v>1</v>
      </c>
    </row>
    <row r="2040" spans="1:4" x14ac:dyDescent="0.25">
      <c r="A2040" s="1">
        <f t="shared" si="36"/>
        <v>0</v>
      </c>
      <c r="B2040" s="1" t="s">
        <v>18</v>
      </c>
      <c r="C2040" s="1">
        <v>38.4</v>
      </c>
      <c r="D2040" s="1">
        <v>1</v>
      </c>
    </row>
    <row r="2041" spans="1:4" x14ac:dyDescent="0.25">
      <c r="A2041" s="1">
        <f t="shared" si="36"/>
        <v>0</v>
      </c>
      <c r="B2041" s="1" t="s">
        <v>15</v>
      </c>
      <c r="C2041" s="1">
        <v>136</v>
      </c>
      <c r="D2041" s="1">
        <v>2</v>
      </c>
    </row>
    <row r="2042" spans="1:4" x14ac:dyDescent="0.25">
      <c r="A2042" s="1">
        <f t="shared" si="36"/>
        <v>0</v>
      </c>
      <c r="B2042" s="1" t="s">
        <v>55</v>
      </c>
      <c r="C2042" s="1">
        <v>38.4</v>
      </c>
      <c r="D2042" s="1">
        <v>1</v>
      </c>
    </row>
    <row r="2043" spans="1:4" x14ac:dyDescent="0.25">
      <c r="A2043" s="1">
        <f t="shared" si="36"/>
        <v>0</v>
      </c>
      <c r="B2043" s="1" t="s">
        <v>44</v>
      </c>
      <c r="C2043" s="1">
        <v>38.4</v>
      </c>
      <c r="D2043" s="1">
        <v>1</v>
      </c>
    </row>
    <row r="2044" spans="1:4" x14ac:dyDescent="0.25">
      <c r="A2044" s="1">
        <f t="shared" si="36"/>
        <v>0</v>
      </c>
      <c r="B2044" s="1" t="s">
        <v>45</v>
      </c>
      <c r="C2044" s="1">
        <v>28.75</v>
      </c>
      <c r="D2044" s="1">
        <v>1</v>
      </c>
    </row>
    <row r="2045" spans="1:4" x14ac:dyDescent="0.25">
      <c r="A2045" s="1">
        <f t="shared" si="36"/>
        <v>0</v>
      </c>
      <c r="B2045" s="1" t="s">
        <v>41</v>
      </c>
      <c r="C2045" s="1">
        <v>28.75</v>
      </c>
      <c r="D2045" s="1">
        <v>1</v>
      </c>
    </row>
    <row r="2046" spans="1:4" x14ac:dyDescent="0.25">
      <c r="A2046" s="1">
        <f t="shared" si="36"/>
        <v>2046</v>
      </c>
      <c r="B2046" s="1" t="s">
        <v>152</v>
      </c>
    </row>
    <row r="2047" spans="1:4" x14ac:dyDescent="0.25">
      <c r="A2047" s="1">
        <f t="shared" si="36"/>
        <v>0</v>
      </c>
      <c r="B2047" s="1" t="s">
        <v>1</v>
      </c>
      <c r="C2047" s="1">
        <v>35</v>
      </c>
    </row>
    <row r="2048" spans="1:4" x14ac:dyDescent="0.25">
      <c r="A2048" s="1">
        <f t="shared" si="36"/>
        <v>0</v>
      </c>
      <c r="B2048" s="1" t="s">
        <v>2</v>
      </c>
      <c r="C2048" s="1">
        <v>1438.94</v>
      </c>
    </row>
    <row r="2049" spans="1:4" x14ac:dyDescent="0.25">
      <c r="A2049" s="1">
        <f t="shared" si="36"/>
        <v>0</v>
      </c>
      <c r="B2049" s="1" t="s">
        <v>3</v>
      </c>
      <c r="C2049" s="1" t="s">
        <v>4</v>
      </c>
      <c r="D2049" s="1" t="s">
        <v>5</v>
      </c>
    </row>
    <row r="2050" spans="1:4" x14ac:dyDescent="0.25">
      <c r="A2050" s="1">
        <f t="shared" ref="A2050:A2113" si="37">IF(COUNTIF($V$3:$Y$99, $B2050)&lt;&gt;0, ROW($B2050), 0)</f>
        <v>0</v>
      </c>
      <c r="B2050" s="1" t="s">
        <v>40</v>
      </c>
      <c r="C2050" s="1">
        <v>109.6</v>
      </c>
      <c r="D2050" s="1">
        <v>2</v>
      </c>
    </row>
    <row r="2051" spans="1:4" x14ac:dyDescent="0.25">
      <c r="A2051" s="1">
        <f t="shared" si="37"/>
        <v>0</v>
      </c>
      <c r="B2051" s="1" t="s">
        <v>8</v>
      </c>
      <c r="C2051" s="1">
        <v>274</v>
      </c>
      <c r="D2051" s="1">
        <v>6</v>
      </c>
    </row>
    <row r="2052" spans="1:4" x14ac:dyDescent="0.25">
      <c r="A2052" s="1">
        <f t="shared" si="37"/>
        <v>0</v>
      </c>
      <c r="B2052" s="1" t="s">
        <v>17</v>
      </c>
      <c r="C2052" s="1">
        <v>38.4</v>
      </c>
      <c r="D2052" s="1">
        <v>1</v>
      </c>
    </row>
    <row r="2053" spans="1:4" x14ac:dyDescent="0.25">
      <c r="A2053" s="1">
        <f t="shared" si="37"/>
        <v>0</v>
      </c>
      <c r="B2053" s="1" t="s">
        <v>18</v>
      </c>
      <c r="C2053" s="1">
        <v>345.6</v>
      </c>
      <c r="D2053" s="1">
        <v>9</v>
      </c>
    </row>
    <row r="2054" spans="1:4" x14ac:dyDescent="0.25">
      <c r="A2054" s="1">
        <f t="shared" si="37"/>
        <v>0</v>
      </c>
      <c r="B2054" s="1" t="s">
        <v>21</v>
      </c>
      <c r="C2054" s="1">
        <v>54.8</v>
      </c>
      <c r="D2054" s="1">
        <v>1</v>
      </c>
    </row>
    <row r="2055" spans="1:4" x14ac:dyDescent="0.25">
      <c r="A2055" s="1">
        <f t="shared" si="37"/>
        <v>0</v>
      </c>
      <c r="B2055" s="1" t="s">
        <v>20</v>
      </c>
      <c r="C2055" s="1">
        <v>76.8</v>
      </c>
      <c r="D2055" s="1">
        <v>2</v>
      </c>
    </row>
    <row r="2056" spans="1:4" x14ac:dyDescent="0.25">
      <c r="A2056" s="1">
        <f t="shared" si="37"/>
        <v>0</v>
      </c>
      <c r="B2056" s="1" t="s">
        <v>49</v>
      </c>
      <c r="C2056" s="1">
        <v>40</v>
      </c>
      <c r="D2056" s="1">
        <v>1</v>
      </c>
    </row>
    <row r="2057" spans="1:4" x14ac:dyDescent="0.25">
      <c r="A2057" s="1">
        <f t="shared" si="37"/>
        <v>0</v>
      </c>
      <c r="B2057" s="1" t="s">
        <v>9</v>
      </c>
      <c r="C2057" s="1">
        <v>54.8</v>
      </c>
      <c r="D2057" s="1">
        <v>1</v>
      </c>
    </row>
    <row r="2058" spans="1:4" x14ac:dyDescent="0.25">
      <c r="A2058" s="1">
        <f t="shared" si="37"/>
        <v>0</v>
      </c>
      <c r="B2058" s="1" t="s">
        <v>30</v>
      </c>
      <c r="C2058" s="1">
        <v>15.99</v>
      </c>
      <c r="D2058" s="1">
        <v>1</v>
      </c>
    </row>
    <row r="2059" spans="1:4" x14ac:dyDescent="0.25">
      <c r="A2059" s="1">
        <f t="shared" si="37"/>
        <v>0</v>
      </c>
      <c r="B2059" s="1" t="s">
        <v>12</v>
      </c>
      <c r="C2059" s="1">
        <v>105</v>
      </c>
      <c r="D2059" s="1">
        <v>3</v>
      </c>
    </row>
    <row r="2060" spans="1:4" x14ac:dyDescent="0.25">
      <c r="A2060" s="1">
        <f t="shared" si="37"/>
        <v>0</v>
      </c>
      <c r="B2060" s="1" t="s">
        <v>14</v>
      </c>
      <c r="C2060" s="1">
        <v>28.75</v>
      </c>
      <c r="D2060" s="1">
        <v>1</v>
      </c>
    </row>
    <row r="2061" spans="1:4" x14ac:dyDescent="0.25">
      <c r="A2061" s="1">
        <f t="shared" si="37"/>
        <v>0</v>
      </c>
      <c r="B2061" s="1" t="s">
        <v>16</v>
      </c>
      <c r="C2061" s="1">
        <v>35.200000000000003</v>
      </c>
      <c r="D2061" s="1">
        <v>1</v>
      </c>
    </row>
    <row r="2062" spans="1:4" x14ac:dyDescent="0.25">
      <c r="A2062" s="1">
        <f t="shared" si="37"/>
        <v>0</v>
      </c>
      <c r="B2062" s="1" t="s">
        <v>13</v>
      </c>
      <c r="C2062" s="1">
        <v>38.4</v>
      </c>
      <c r="D2062" s="1">
        <v>1</v>
      </c>
    </row>
    <row r="2063" spans="1:4" x14ac:dyDescent="0.25">
      <c r="A2063" s="1">
        <f t="shared" si="37"/>
        <v>0</v>
      </c>
      <c r="B2063" s="1" t="s">
        <v>15</v>
      </c>
      <c r="C2063" s="1">
        <v>68</v>
      </c>
      <c r="D2063" s="1">
        <v>1</v>
      </c>
    </row>
    <row r="2064" spans="1:4" x14ac:dyDescent="0.25">
      <c r="A2064" s="1">
        <f t="shared" si="37"/>
        <v>0</v>
      </c>
      <c r="B2064" s="1" t="s">
        <v>56</v>
      </c>
      <c r="C2064" s="1">
        <v>153.6</v>
      </c>
      <c r="D2064" s="1">
        <v>4</v>
      </c>
    </row>
    <row r="2065" spans="1:4" x14ac:dyDescent="0.25">
      <c r="A2065" s="1">
        <f t="shared" si="37"/>
        <v>2065</v>
      </c>
      <c r="B2065" s="1" t="s">
        <v>153</v>
      </c>
    </row>
    <row r="2066" spans="1:4" x14ac:dyDescent="0.25">
      <c r="A2066" s="1">
        <f t="shared" si="37"/>
        <v>0</v>
      </c>
      <c r="B2066" s="1" t="s">
        <v>1</v>
      </c>
      <c r="C2066" s="1">
        <v>105</v>
      </c>
    </row>
    <row r="2067" spans="1:4" x14ac:dyDescent="0.25">
      <c r="A2067" s="1">
        <f t="shared" si="37"/>
        <v>0</v>
      </c>
      <c r="B2067" s="1" t="s">
        <v>2</v>
      </c>
      <c r="C2067" s="1">
        <v>4317.4399999999996</v>
      </c>
    </row>
    <row r="2068" spans="1:4" x14ac:dyDescent="0.25">
      <c r="A2068" s="1">
        <f t="shared" si="37"/>
        <v>0</v>
      </c>
      <c r="B2068" s="1" t="s">
        <v>3</v>
      </c>
      <c r="C2068" s="1" t="s">
        <v>4</v>
      </c>
      <c r="D2068" s="1" t="s">
        <v>5</v>
      </c>
    </row>
    <row r="2069" spans="1:4" x14ac:dyDescent="0.25">
      <c r="A2069" s="1">
        <f t="shared" si="37"/>
        <v>0</v>
      </c>
      <c r="B2069" s="1" t="s">
        <v>12</v>
      </c>
      <c r="C2069" s="1">
        <v>140</v>
      </c>
      <c r="D2069" s="1">
        <v>4</v>
      </c>
    </row>
    <row r="2070" spans="1:4" x14ac:dyDescent="0.25">
      <c r="A2070" s="1">
        <f t="shared" si="37"/>
        <v>0</v>
      </c>
      <c r="B2070" s="1" t="s">
        <v>17</v>
      </c>
      <c r="C2070" s="1">
        <v>499.2</v>
      </c>
      <c r="D2070" s="1">
        <v>15</v>
      </c>
    </row>
    <row r="2071" spans="1:4" x14ac:dyDescent="0.25">
      <c r="A2071" s="1">
        <f t="shared" si="37"/>
        <v>0</v>
      </c>
      <c r="B2071" s="1" t="s">
        <v>20</v>
      </c>
      <c r="C2071" s="1">
        <v>499.2</v>
      </c>
      <c r="D2071" s="1">
        <v>14</v>
      </c>
    </row>
    <row r="2072" spans="1:4" x14ac:dyDescent="0.25">
      <c r="A2072" s="1">
        <f t="shared" si="37"/>
        <v>0</v>
      </c>
      <c r="B2072" s="1" t="s">
        <v>78</v>
      </c>
      <c r="C2072" s="1">
        <v>54.8</v>
      </c>
      <c r="D2072" s="1">
        <v>1</v>
      </c>
    </row>
    <row r="2073" spans="1:4" x14ac:dyDescent="0.25">
      <c r="A2073" s="1">
        <f t="shared" si="37"/>
        <v>0</v>
      </c>
      <c r="B2073" s="1" t="s">
        <v>18</v>
      </c>
      <c r="C2073" s="1">
        <v>422.4</v>
      </c>
      <c r="D2073" s="1">
        <v>11</v>
      </c>
    </row>
    <row r="2074" spans="1:4" x14ac:dyDescent="0.25">
      <c r="A2074" s="1">
        <f t="shared" si="37"/>
        <v>0</v>
      </c>
      <c r="B2074" s="1" t="s">
        <v>21</v>
      </c>
      <c r="C2074" s="1">
        <v>274</v>
      </c>
      <c r="D2074" s="1">
        <v>5</v>
      </c>
    </row>
    <row r="2075" spans="1:4" x14ac:dyDescent="0.25">
      <c r="A2075" s="1">
        <f t="shared" si="37"/>
        <v>0</v>
      </c>
      <c r="B2075" s="1" t="s">
        <v>42</v>
      </c>
      <c r="C2075" s="1">
        <v>80</v>
      </c>
      <c r="D2075" s="1">
        <v>2</v>
      </c>
    </row>
    <row r="2076" spans="1:4" x14ac:dyDescent="0.25">
      <c r="A2076" s="1">
        <f t="shared" si="37"/>
        <v>0</v>
      </c>
      <c r="B2076" s="1" t="s">
        <v>40</v>
      </c>
      <c r="C2076" s="1">
        <v>328.8</v>
      </c>
      <c r="D2076" s="1">
        <v>7</v>
      </c>
    </row>
    <row r="2077" spans="1:4" x14ac:dyDescent="0.25">
      <c r="A2077" s="1">
        <f t="shared" si="37"/>
        <v>0</v>
      </c>
      <c r="B2077" s="1" t="s">
        <v>14</v>
      </c>
      <c r="C2077" s="1">
        <v>28.75</v>
      </c>
      <c r="D2077" s="1">
        <v>1</v>
      </c>
    </row>
    <row r="2078" spans="1:4" x14ac:dyDescent="0.25">
      <c r="A2078" s="1">
        <f t="shared" si="37"/>
        <v>0</v>
      </c>
      <c r="B2078" s="1" t="s">
        <v>19</v>
      </c>
      <c r="C2078" s="1">
        <v>57.5</v>
      </c>
      <c r="D2078" s="1">
        <v>2</v>
      </c>
    </row>
    <row r="2079" spans="1:4" x14ac:dyDescent="0.25">
      <c r="A2079" s="1">
        <f t="shared" si="37"/>
        <v>0</v>
      </c>
      <c r="B2079" s="1" t="s">
        <v>26</v>
      </c>
      <c r="C2079" s="1">
        <v>37.5</v>
      </c>
      <c r="D2079" s="1">
        <v>1</v>
      </c>
    </row>
    <row r="2080" spans="1:4" x14ac:dyDescent="0.25">
      <c r="A2080" s="1">
        <f t="shared" si="37"/>
        <v>0</v>
      </c>
      <c r="B2080" s="1" t="s">
        <v>13</v>
      </c>
      <c r="C2080" s="1">
        <v>153.6</v>
      </c>
      <c r="D2080" s="1">
        <v>4</v>
      </c>
    </row>
    <row r="2081" spans="1:4" x14ac:dyDescent="0.25">
      <c r="A2081" s="1">
        <f t="shared" si="37"/>
        <v>0</v>
      </c>
      <c r="B2081" s="1" t="s">
        <v>64</v>
      </c>
      <c r="C2081" s="1">
        <v>38.4</v>
      </c>
      <c r="D2081" s="1">
        <v>1</v>
      </c>
    </row>
    <row r="2082" spans="1:4" x14ac:dyDescent="0.25">
      <c r="A2082" s="1">
        <f t="shared" si="37"/>
        <v>0</v>
      </c>
      <c r="B2082" s="1" t="s">
        <v>32</v>
      </c>
      <c r="C2082" s="1">
        <v>38.4</v>
      </c>
      <c r="D2082" s="1">
        <v>1</v>
      </c>
    </row>
    <row r="2083" spans="1:4" x14ac:dyDescent="0.25">
      <c r="A2083" s="1">
        <f t="shared" si="37"/>
        <v>0</v>
      </c>
      <c r="B2083" s="1" t="s">
        <v>8</v>
      </c>
      <c r="C2083" s="1">
        <v>548</v>
      </c>
      <c r="D2083" s="1">
        <v>11</v>
      </c>
    </row>
    <row r="2084" spans="1:4" x14ac:dyDescent="0.25">
      <c r="A2084" s="1">
        <f t="shared" si="37"/>
        <v>0</v>
      </c>
      <c r="B2084" s="1" t="s">
        <v>54</v>
      </c>
      <c r="C2084" s="1">
        <v>76.8</v>
      </c>
      <c r="D2084" s="1">
        <v>2</v>
      </c>
    </row>
    <row r="2085" spans="1:4" x14ac:dyDescent="0.25">
      <c r="A2085" s="1">
        <f t="shared" si="37"/>
        <v>0</v>
      </c>
      <c r="B2085" s="1" t="s">
        <v>7</v>
      </c>
      <c r="C2085" s="1">
        <v>54.8</v>
      </c>
      <c r="D2085" s="1">
        <v>1</v>
      </c>
    </row>
    <row r="2086" spans="1:4" x14ac:dyDescent="0.25">
      <c r="A2086" s="1">
        <f t="shared" si="37"/>
        <v>0</v>
      </c>
      <c r="B2086" s="1" t="s">
        <v>35</v>
      </c>
      <c r="C2086" s="1">
        <v>76.8</v>
      </c>
      <c r="D2086" s="1">
        <v>2</v>
      </c>
    </row>
    <row r="2087" spans="1:4" x14ac:dyDescent="0.25">
      <c r="A2087" s="1">
        <f t="shared" si="37"/>
        <v>0</v>
      </c>
      <c r="B2087" s="1" t="s">
        <v>9</v>
      </c>
      <c r="C2087" s="1">
        <v>219.2</v>
      </c>
      <c r="D2087" s="1">
        <v>4</v>
      </c>
    </row>
    <row r="2088" spans="1:4" x14ac:dyDescent="0.25">
      <c r="A2088" s="1">
        <f t="shared" si="37"/>
        <v>0</v>
      </c>
      <c r="B2088" s="1" t="s">
        <v>36</v>
      </c>
      <c r="C2088" s="1">
        <v>72.959999999999994</v>
      </c>
      <c r="D2088" s="1">
        <v>2</v>
      </c>
    </row>
    <row r="2089" spans="1:4" x14ac:dyDescent="0.25">
      <c r="A2089" s="1">
        <f t="shared" si="37"/>
        <v>0</v>
      </c>
      <c r="B2089" s="1" t="s">
        <v>22</v>
      </c>
      <c r="C2089" s="1">
        <v>109.6</v>
      </c>
      <c r="D2089" s="1">
        <v>2</v>
      </c>
    </row>
    <row r="2090" spans="1:4" x14ac:dyDescent="0.25">
      <c r="A2090" s="1">
        <f t="shared" si="37"/>
        <v>0</v>
      </c>
      <c r="B2090" s="1" t="s">
        <v>52</v>
      </c>
      <c r="C2090" s="1">
        <v>64</v>
      </c>
      <c r="D2090" s="1">
        <v>1</v>
      </c>
    </row>
    <row r="2091" spans="1:4" x14ac:dyDescent="0.25">
      <c r="A2091" s="1">
        <f t="shared" si="37"/>
        <v>0</v>
      </c>
      <c r="B2091" s="1" t="s">
        <v>61</v>
      </c>
      <c r="C2091" s="1">
        <v>64</v>
      </c>
      <c r="D2091" s="1">
        <v>1</v>
      </c>
    </row>
    <row r="2092" spans="1:4" x14ac:dyDescent="0.25">
      <c r="A2092" s="1">
        <f t="shared" si="37"/>
        <v>0</v>
      </c>
      <c r="B2092" s="1" t="s">
        <v>15</v>
      </c>
      <c r="C2092" s="1">
        <v>68</v>
      </c>
      <c r="D2092" s="1">
        <v>1</v>
      </c>
    </row>
    <row r="2093" spans="1:4" x14ac:dyDescent="0.25">
      <c r="A2093" s="1">
        <f t="shared" si="37"/>
        <v>0</v>
      </c>
      <c r="B2093" s="1" t="s">
        <v>49</v>
      </c>
      <c r="C2093" s="1">
        <v>40</v>
      </c>
      <c r="D2093" s="1">
        <v>1</v>
      </c>
    </row>
    <row r="2094" spans="1:4" x14ac:dyDescent="0.25">
      <c r="A2094" s="1">
        <f t="shared" si="37"/>
        <v>0</v>
      </c>
      <c r="B2094" s="1" t="s">
        <v>10</v>
      </c>
      <c r="C2094" s="1">
        <v>38.4</v>
      </c>
      <c r="D2094" s="1">
        <v>1</v>
      </c>
    </row>
    <row r="2095" spans="1:4" x14ac:dyDescent="0.25">
      <c r="A2095" s="1">
        <f t="shared" si="37"/>
        <v>0</v>
      </c>
      <c r="B2095" s="1" t="s">
        <v>30</v>
      </c>
      <c r="C2095" s="1">
        <v>31.98</v>
      </c>
      <c r="D2095" s="1">
        <v>2</v>
      </c>
    </row>
    <row r="2096" spans="1:4" x14ac:dyDescent="0.25">
      <c r="A2096" s="1">
        <f t="shared" si="37"/>
        <v>0</v>
      </c>
      <c r="B2096" s="1" t="s">
        <v>33</v>
      </c>
      <c r="C2096" s="1">
        <v>40</v>
      </c>
      <c r="D2096" s="1">
        <v>1</v>
      </c>
    </row>
    <row r="2097" spans="1:4" x14ac:dyDescent="0.25">
      <c r="A2097" s="1">
        <f t="shared" si="37"/>
        <v>0</v>
      </c>
      <c r="B2097" s="1" t="s">
        <v>56</v>
      </c>
      <c r="C2097" s="1">
        <v>38.4</v>
      </c>
      <c r="D2097" s="1">
        <v>1</v>
      </c>
    </row>
    <row r="2098" spans="1:4" x14ac:dyDescent="0.25">
      <c r="A2098" s="1">
        <f t="shared" si="37"/>
        <v>0</v>
      </c>
      <c r="B2098" s="1" t="s">
        <v>37</v>
      </c>
      <c r="C2098" s="1">
        <v>54.8</v>
      </c>
      <c r="D2098" s="1">
        <v>1</v>
      </c>
    </row>
    <row r="2099" spans="1:4" x14ac:dyDescent="0.25">
      <c r="A2099" s="1">
        <f t="shared" si="37"/>
        <v>0</v>
      </c>
      <c r="B2099" s="1" t="s">
        <v>44</v>
      </c>
      <c r="C2099" s="1">
        <v>38.4</v>
      </c>
      <c r="D2099" s="1">
        <v>1</v>
      </c>
    </row>
    <row r="2100" spans="1:4" x14ac:dyDescent="0.25">
      <c r="A2100" s="1">
        <f t="shared" si="37"/>
        <v>0</v>
      </c>
      <c r="B2100" s="1" t="s">
        <v>45</v>
      </c>
      <c r="C2100" s="1">
        <v>28.75</v>
      </c>
      <c r="D2100" s="1">
        <v>1</v>
      </c>
    </row>
    <row r="2101" spans="1:4" x14ac:dyDescent="0.25">
      <c r="A2101" s="1">
        <f t="shared" si="37"/>
        <v>2101</v>
      </c>
      <c r="B2101" s="1" t="s">
        <v>154</v>
      </c>
    </row>
    <row r="2102" spans="1:4" x14ac:dyDescent="0.25">
      <c r="A2102" s="1">
        <f t="shared" si="37"/>
        <v>0</v>
      </c>
      <c r="B2102" s="1" t="s">
        <v>1</v>
      </c>
      <c r="C2102" s="1">
        <v>48</v>
      </c>
    </row>
    <row r="2103" spans="1:4" x14ac:dyDescent="0.25">
      <c r="A2103" s="1">
        <f t="shared" si="37"/>
        <v>0</v>
      </c>
      <c r="B2103" s="1" t="s">
        <v>2</v>
      </c>
      <c r="C2103" s="1">
        <v>2014.4</v>
      </c>
    </row>
    <row r="2104" spans="1:4" x14ac:dyDescent="0.25">
      <c r="A2104" s="1">
        <f t="shared" si="37"/>
        <v>0</v>
      </c>
      <c r="B2104" s="1" t="s">
        <v>3</v>
      </c>
      <c r="C2104" s="1" t="s">
        <v>4</v>
      </c>
      <c r="D2104" s="1" t="s">
        <v>5</v>
      </c>
    </row>
    <row r="2105" spans="1:4" x14ac:dyDescent="0.25">
      <c r="A2105" s="1">
        <f t="shared" si="37"/>
        <v>0</v>
      </c>
      <c r="B2105" s="1" t="s">
        <v>40</v>
      </c>
      <c r="C2105" s="1">
        <v>109.6</v>
      </c>
      <c r="D2105" s="1">
        <v>2</v>
      </c>
    </row>
    <row r="2106" spans="1:4" x14ac:dyDescent="0.25">
      <c r="A2106" s="1">
        <f t="shared" si="37"/>
        <v>0</v>
      </c>
      <c r="B2106" s="1" t="s">
        <v>26</v>
      </c>
      <c r="C2106" s="1">
        <v>37.5</v>
      </c>
      <c r="D2106" s="1">
        <v>1</v>
      </c>
    </row>
    <row r="2107" spans="1:4" x14ac:dyDescent="0.25">
      <c r="A2107" s="1">
        <f t="shared" si="37"/>
        <v>0</v>
      </c>
      <c r="B2107" s="1" t="s">
        <v>10</v>
      </c>
      <c r="C2107" s="1">
        <v>38.4</v>
      </c>
      <c r="D2107" s="1">
        <v>1</v>
      </c>
    </row>
    <row r="2108" spans="1:4" x14ac:dyDescent="0.25">
      <c r="A2108" s="1">
        <f t="shared" si="37"/>
        <v>0</v>
      </c>
      <c r="B2108" s="1" t="s">
        <v>49</v>
      </c>
      <c r="C2108" s="1">
        <v>40</v>
      </c>
      <c r="D2108" s="1">
        <v>1</v>
      </c>
    </row>
    <row r="2109" spans="1:4" x14ac:dyDescent="0.25">
      <c r="A2109" s="1">
        <f t="shared" si="37"/>
        <v>0</v>
      </c>
      <c r="B2109" s="1" t="s">
        <v>6</v>
      </c>
      <c r="C2109" s="1">
        <v>109.6</v>
      </c>
      <c r="D2109" s="1">
        <v>2</v>
      </c>
    </row>
    <row r="2110" spans="1:4" x14ac:dyDescent="0.25">
      <c r="A2110" s="1">
        <f t="shared" si="37"/>
        <v>0</v>
      </c>
      <c r="B2110" s="1" t="s">
        <v>20</v>
      </c>
      <c r="C2110" s="1">
        <v>384</v>
      </c>
      <c r="D2110" s="1">
        <v>10</v>
      </c>
    </row>
    <row r="2111" spans="1:4" x14ac:dyDescent="0.25">
      <c r="A2111" s="1">
        <f t="shared" si="37"/>
        <v>0</v>
      </c>
      <c r="B2111" s="1" t="s">
        <v>8</v>
      </c>
      <c r="C2111" s="1">
        <v>219.2</v>
      </c>
      <c r="D2111" s="1">
        <v>4</v>
      </c>
    </row>
    <row r="2112" spans="1:4" x14ac:dyDescent="0.25">
      <c r="A2112" s="1">
        <f t="shared" si="37"/>
        <v>0</v>
      </c>
      <c r="B2112" s="1" t="s">
        <v>12</v>
      </c>
      <c r="C2112" s="1">
        <v>245</v>
      </c>
      <c r="D2112" s="1">
        <v>7</v>
      </c>
    </row>
    <row r="2113" spans="1:4" x14ac:dyDescent="0.25">
      <c r="A2113" s="1">
        <f t="shared" si="37"/>
        <v>0</v>
      </c>
      <c r="B2113" s="1" t="s">
        <v>64</v>
      </c>
      <c r="C2113" s="1">
        <v>38.4</v>
      </c>
      <c r="D2113" s="1">
        <v>1</v>
      </c>
    </row>
    <row r="2114" spans="1:4" x14ac:dyDescent="0.25">
      <c r="A2114" s="1">
        <f t="shared" ref="A2114:A2177" si="38">IF(COUNTIF($V$3:$Y$99, $B2114)&lt;&gt;0, ROW($B2114), 0)</f>
        <v>0</v>
      </c>
      <c r="B2114" s="1" t="s">
        <v>18</v>
      </c>
      <c r="C2114" s="1">
        <v>38.4</v>
      </c>
      <c r="D2114" s="1">
        <v>1</v>
      </c>
    </row>
    <row r="2115" spans="1:4" x14ac:dyDescent="0.25">
      <c r="A2115" s="1">
        <f t="shared" si="38"/>
        <v>0</v>
      </c>
      <c r="B2115" s="1" t="s">
        <v>25</v>
      </c>
      <c r="C2115" s="1">
        <v>40</v>
      </c>
      <c r="D2115" s="1">
        <v>1</v>
      </c>
    </row>
    <row r="2116" spans="1:4" x14ac:dyDescent="0.25">
      <c r="A2116" s="1">
        <f t="shared" si="38"/>
        <v>0</v>
      </c>
      <c r="B2116" s="1" t="s">
        <v>15</v>
      </c>
      <c r="C2116" s="1">
        <v>136</v>
      </c>
      <c r="D2116" s="1">
        <v>4</v>
      </c>
    </row>
    <row r="2117" spans="1:4" x14ac:dyDescent="0.25">
      <c r="A2117" s="1">
        <f t="shared" si="38"/>
        <v>0</v>
      </c>
      <c r="B2117" s="1" t="s">
        <v>17</v>
      </c>
      <c r="C2117" s="1">
        <v>76.8</v>
      </c>
      <c r="D2117" s="1">
        <v>2</v>
      </c>
    </row>
    <row r="2118" spans="1:4" x14ac:dyDescent="0.25">
      <c r="A2118" s="1">
        <f t="shared" si="38"/>
        <v>0</v>
      </c>
      <c r="B2118" s="1" t="s">
        <v>22</v>
      </c>
      <c r="C2118" s="1">
        <v>54.8</v>
      </c>
      <c r="D2118" s="1">
        <v>1</v>
      </c>
    </row>
    <row r="2119" spans="1:4" x14ac:dyDescent="0.25">
      <c r="A2119" s="1">
        <f t="shared" si="38"/>
        <v>0</v>
      </c>
      <c r="B2119" s="1" t="s">
        <v>50</v>
      </c>
      <c r="C2119" s="1">
        <v>127.5</v>
      </c>
      <c r="D2119" s="1">
        <v>3</v>
      </c>
    </row>
    <row r="2120" spans="1:4" x14ac:dyDescent="0.25">
      <c r="A2120" s="1">
        <f t="shared" si="38"/>
        <v>0</v>
      </c>
      <c r="B2120" s="1" t="s">
        <v>16</v>
      </c>
      <c r="C2120" s="1">
        <v>35.200000000000003</v>
      </c>
      <c r="D2120" s="1">
        <v>1</v>
      </c>
    </row>
    <row r="2121" spans="1:4" x14ac:dyDescent="0.25">
      <c r="A2121" s="1">
        <f t="shared" si="38"/>
        <v>0</v>
      </c>
      <c r="B2121" s="1" t="s">
        <v>13</v>
      </c>
      <c r="C2121" s="1">
        <v>38.4</v>
      </c>
      <c r="D2121" s="1">
        <v>1</v>
      </c>
    </row>
    <row r="2122" spans="1:4" x14ac:dyDescent="0.25">
      <c r="A2122" s="1">
        <f t="shared" si="38"/>
        <v>0</v>
      </c>
      <c r="B2122" s="1" t="s">
        <v>55</v>
      </c>
      <c r="C2122" s="1">
        <v>38.4</v>
      </c>
      <c r="D2122" s="1">
        <v>1</v>
      </c>
    </row>
    <row r="2123" spans="1:4" x14ac:dyDescent="0.25">
      <c r="A2123" s="1">
        <f t="shared" si="38"/>
        <v>0</v>
      </c>
      <c r="B2123" s="1" t="s">
        <v>56</v>
      </c>
      <c r="C2123" s="1">
        <v>38.4</v>
      </c>
      <c r="D2123" s="1">
        <v>1</v>
      </c>
    </row>
    <row r="2124" spans="1:4" x14ac:dyDescent="0.25">
      <c r="A2124" s="1">
        <f t="shared" si="38"/>
        <v>0</v>
      </c>
      <c r="B2124" s="1" t="s">
        <v>74</v>
      </c>
      <c r="C2124" s="1">
        <v>74</v>
      </c>
      <c r="D2124" s="1">
        <v>1</v>
      </c>
    </row>
    <row r="2125" spans="1:4" x14ac:dyDescent="0.25">
      <c r="A2125" s="1">
        <f t="shared" si="38"/>
        <v>0</v>
      </c>
      <c r="B2125" s="1" t="s">
        <v>33</v>
      </c>
      <c r="C2125" s="1">
        <v>40</v>
      </c>
      <c r="D2125" s="1">
        <v>1</v>
      </c>
    </row>
    <row r="2126" spans="1:4" x14ac:dyDescent="0.25">
      <c r="A2126" s="1">
        <f t="shared" si="38"/>
        <v>0</v>
      </c>
      <c r="B2126" s="1" t="s">
        <v>21</v>
      </c>
      <c r="C2126" s="1">
        <v>54.8</v>
      </c>
      <c r="D2126" s="1">
        <v>1</v>
      </c>
    </row>
    <row r="2127" spans="1:4" x14ac:dyDescent="0.25">
      <c r="A2127" s="1">
        <f t="shared" si="38"/>
        <v>2127</v>
      </c>
      <c r="B2127" s="1" t="s">
        <v>155</v>
      </c>
    </row>
    <row r="2128" spans="1:4" x14ac:dyDescent="0.25">
      <c r="A2128" s="1">
        <f t="shared" si="38"/>
        <v>0</v>
      </c>
      <c r="B2128" s="1" t="s">
        <v>1</v>
      </c>
      <c r="C2128" s="1">
        <v>61</v>
      </c>
    </row>
    <row r="2129" spans="1:4" x14ac:dyDescent="0.25">
      <c r="A2129" s="1">
        <f t="shared" si="38"/>
        <v>0</v>
      </c>
      <c r="B2129" s="1" t="s">
        <v>2</v>
      </c>
      <c r="C2129" s="1">
        <v>2589</v>
      </c>
    </row>
    <row r="2130" spans="1:4" x14ac:dyDescent="0.25">
      <c r="A2130" s="1">
        <f t="shared" si="38"/>
        <v>0</v>
      </c>
      <c r="B2130" s="1" t="s">
        <v>3</v>
      </c>
      <c r="C2130" s="1" t="s">
        <v>4</v>
      </c>
      <c r="D2130" s="1" t="s">
        <v>5</v>
      </c>
    </row>
    <row r="2131" spans="1:4" x14ac:dyDescent="0.25">
      <c r="A2131" s="1">
        <f t="shared" si="38"/>
        <v>0</v>
      </c>
      <c r="B2131" s="1" t="s">
        <v>20</v>
      </c>
      <c r="C2131" s="1">
        <v>268.8</v>
      </c>
      <c r="D2131" s="1">
        <v>7</v>
      </c>
    </row>
    <row r="2132" spans="1:4" x14ac:dyDescent="0.25">
      <c r="A2132" s="1">
        <f t="shared" si="38"/>
        <v>0</v>
      </c>
      <c r="B2132" s="1" t="s">
        <v>8</v>
      </c>
      <c r="C2132" s="1">
        <v>274</v>
      </c>
      <c r="D2132" s="1">
        <v>5</v>
      </c>
    </row>
    <row r="2133" spans="1:4" x14ac:dyDescent="0.25">
      <c r="A2133" s="1">
        <f t="shared" si="38"/>
        <v>0</v>
      </c>
      <c r="B2133" s="1" t="s">
        <v>17</v>
      </c>
      <c r="C2133" s="1">
        <v>192</v>
      </c>
      <c r="D2133" s="1">
        <v>5</v>
      </c>
    </row>
    <row r="2134" spans="1:4" x14ac:dyDescent="0.25">
      <c r="A2134" s="1">
        <f t="shared" si="38"/>
        <v>0</v>
      </c>
      <c r="B2134" s="1" t="s">
        <v>19</v>
      </c>
      <c r="C2134" s="1">
        <v>57.5</v>
      </c>
      <c r="D2134" s="1">
        <v>2</v>
      </c>
    </row>
    <row r="2135" spans="1:4" x14ac:dyDescent="0.25">
      <c r="A2135" s="1">
        <f t="shared" si="38"/>
        <v>0</v>
      </c>
      <c r="B2135" s="1" t="s">
        <v>12</v>
      </c>
      <c r="C2135" s="1">
        <v>280</v>
      </c>
      <c r="D2135" s="1">
        <v>8</v>
      </c>
    </row>
    <row r="2136" spans="1:4" x14ac:dyDescent="0.25">
      <c r="A2136" s="1">
        <f t="shared" si="38"/>
        <v>0</v>
      </c>
      <c r="B2136" s="1" t="s">
        <v>33</v>
      </c>
      <c r="C2136" s="1">
        <v>160</v>
      </c>
      <c r="D2136" s="1">
        <v>4</v>
      </c>
    </row>
    <row r="2137" spans="1:4" x14ac:dyDescent="0.25">
      <c r="A2137" s="1">
        <f t="shared" si="38"/>
        <v>0</v>
      </c>
      <c r="B2137" s="1" t="s">
        <v>21</v>
      </c>
      <c r="C2137" s="1">
        <v>274</v>
      </c>
      <c r="D2137" s="1">
        <v>5</v>
      </c>
    </row>
    <row r="2138" spans="1:4" x14ac:dyDescent="0.25">
      <c r="A2138" s="1">
        <f t="shared" si="38"/>
        <v>0</v>
      </c>
      <c r="B2138" s="1" t="s">
        <v>51</v>
      </c>
      <c r="C2138" s="1">
        <v>38.4</v>
      </c>
      <c r="D2138" s="1">
        <v>1</v>
      </c>
    </row>
    <row r="2139" spans="1:4" x14ac:dyDescent="0.25">
      <c r="A2139" s="1">
        <f t="shared" si="38"/>
        <v>0</v>
      </c>
      <c r="B2139" s="1" t="s">
        <v>49</v>
      </c>
      <c r="C2139" s="1">
        <v>160</v>
      </c>
      <c r="D2139" s="1">
        <v>4</v>
      </c>
    </row>
    <row r="2140" spans="1:4" x14ac:dyDescent="0.25">
      <c r="A2140" s="1">
        <f t="shared" si="38"/>
        <v>0</v>
      </c>
      <c r="B2140" s="1" t="s">
        <v>13</v>
      </c>
      <c r="C2140" s="1">
        <v>76.8</v>
      </c>
      <c r="D2140" s="1">
        <v>2</v>
      </c>
    </row>
    <row r="2141" spans="1:4" x14ac:dyDescent="0.25">
      <c r="A2141" s="1">
        <f t="shared" si="38"/>
        <v>0</v>
      </c>
      <c r="B2141" s="1" t="s">
        <v>40</v>
      </c>
      <c r="C2141" s="1">
        <v>164.4</v>
      </c>
      <c r="D2141" s="1">
        <v>3</v>
      </c>
    </row>
    <row r="2142" spans="1:4" x14ac:dyDescent="0.25">
      <c r="A2142" s="1">
        <f t="shared" si="38"/>
        <v>0</v>
      </c>
      <c r="B2142" s="1" t="s">
        <v>37</v>
      </c>
      <c r="C2142" s="1">
        <v>54.8</v>
      </c>
      <c r="D2142" s="1">
        <v>1</v>
      </c>
    </row>
    <row r="2143" spans="1:4" x14ac:dyDescent="0.25">
      <c r="A2143" s="1">
        <f t="shared" si="38"/>
        <v>0</v>
      </c>
      <c r="B2143" s="1" t="s">
        <v>18</v>
      </c>
      <c r="C2143" s="1">
        <v>230.4</v>
      </c>
      <c r="D2143" s="1">
        <v>6</v>
      </c>
    </row>
    <row r="2144" spans="1:4" x14ac:dyDescent="0.25">
      <c r="A2144" s="1">
        <f t="shared" si="38"/>
        <v>0</v>
      </c>
      <c r="B2144" s="1" t="s">
        <v>61</v>
      </c>
      <c r="C2144" s="1">
        <v>64</v>
      </c>
      <c r="D2144" s="1">
        <v>1</v>
      </c>
    </row>
    <row r="2145" spans="1:4" x14ac:dyDescent="0.25">
      <c r="A2145" s="1">
        <f t="shared" si="38"/>
        <v>0</v>
      </c>
      <c r="B2145" s="1" t="s">
        <v>16</v>
      </c>
      <c r="C2145" s="1">
        <v>35.200000000000003</v>
      </c>
      <c r="D2145" s="1">
        <v>1</v>
      </c>
    </row>
    <row r="2146" spans="1:4" x14ac:dyDescent="0.25">
      <c r="A2146" s="1">
        <f t="shared" si="38"/>
        <v>0</v>
      </c>
      <c r="B2146" s="1" t="s">
        <v>22</v>
      </c>
      <c r="C2146" s="1">
        <v>54.8</v>
      </c>
      <c r="D2146" s="1">
        <v>1</v>
      </c>
    </row>
    <row r="2147" spans="1:4" x14ac:dyDescent="0.25">
      <c r="A2147" s="1">
        <f t="shared" si="38"/>
        <v>0</v>
      </c>
      <c r="B2147" s="1" t="s">
        <v>71</v>
      </c>
      <c r="C2147" s="1">
        <v>40</v>
      </c>
      <c r="D2147" s="1">
        <v>1</v>
      </c>
    </row>
    <row r="2148" spans="1:4" x14ac:dyDescent="0.25">
      <c r="A2148" s="1">
        <f t="shared" si="38"/>
        <v>0</v>
      </c>
      <c r="B2148" s="1" t="s">
        <v>62</v>
      </c>
      <c r="C2148" s="1">
        <v>38.4</v>
      </c>
      <c r="D2148" s="1">
        <v>1</v>
      </c>
    </row>
    <row r="2149" spans="1:4" x14ac:dyDescent="0.25">
      <c r="A2149" s="1">
        <f t="shared" si="38"/>
        <v>0</v>
      </c>
      <c r="B2149" s="1" t="s">
        <v>45</v>
      </c>
      <c r="C2149" s="1">
        <v>28.75</v>
      </c>
      <c r="D2149" s="1">
        <v>1</v>
      </c>
    </row>
    <row r="2150" spans="1:4" x14ac:dyDescent="0.25">
      <c r="A2150" s="1">
        <f t="shared" si="38"/>
        <v>0</v>
      </c>
      <c r="B2150" s="1" t="s">
        <v>15</v>
      </c>
      <c r="C2150" s="1">
        <v>68</v>
      </c>
      <c r="D2150" s="1">
        <v>1</v>
      </c>
    </row>
    <row r="2151" spans="1:4" x14ac:dyDescent="0.25">
      <c r="A2151" s="1">
        <f t="shared" si="38"/>
        <v>0</v>
      </c>
      <c r="B2151" s="1" t="s">
        <v>68</v>
      </c>
      <c r="C2151" s="1">
        <v>28.75</v>
      </c>
      <c r="D2151" s="1">
        <v>1</v>
      </c>
    </row>
    <row r="2152" spans="1:4" x14ac:dyDescent="0.25">
      <c r="A2152" s="1">
        <f t="shared" si="38"/>
        <v>2152</v>
      </c>
      <c r="B2152" s="1" t="s">
        <v>156</v>
      </c>
    </row>
    <row r="2153" spans="1:4" x14ac:dyDescent="0.25">
      <c r="A2153" s="1">
        <f t="shared" si="38"/>
        <v>0</v>
      </c>
      <c r="B2153" s="1" t="s">
        <v>1</v>
      </c>
      <c r="C2153" s="1">
        <v>27</v>
      </c>
    </row>
    <row r="2154" spans="1:4" x14ac:dyDescent="0.25">
      <c r="A2154" s="1">
        <f t="shared" si="38"/>
        <v>0</v>
      </c>
      <c r="B2154" s="1" t="s">
        <v>2</v>
      </c>
      <c r="C2154" s="1">
        <v>913.8</v>
      </c>
    </row>
    <row r="2155" spans="1:4" x14ac:dyDescent="0.25">
      <c r="A2155" s="1">
        <f t="shared" si="38"/>
        <v>0</v>
      </c>
      <c r="B2155" s="1" t="s">
        <v>3</v>
      </c>
      <c r="C2155" s="1" t="s">
        <v>4</v>
      </c>
      <c r="D2155" s="1" t="s">
        <v>5</v>
      </c>
    </row>
    <row r="2156" spans="1:4" x14ac:dyDescent="0.25">
      <c r="A2156" s="1">
        <f t="shared" si="38"/>
        <v>0</v>
      </c>
      <c r="B2156" s="1" t="s">
        <v>18</v>
      </c>
      <c r="C2156" s="1">
        <v>38.4</v>
      </c>
      <c r="D2156" s="1">
        <v>1</v>
      </c>
    </row>
    <row r="2157" spans="1:4" x14ac:dyDescent="0.25">
      <c r="A2157" s="1">
        <f t="shared" si="38"/>
        <v>0</v>
      </c>
      <c r="B2157" s="1" t="s">
        <v>33</v>
      </c>
      <c r="C2157" s="1">
        <v>40</v>
      </c>
      <c r="D2157" s="1">
        <v>1</v>
      </c>
    </row>
    <row r="2158" spans="1:4" x14ac:dyDescent="0.25">
      <c r="A2158" s="1">
        <f t="shared" si="38"/>
        <v>0</v>
      </c>
      <c r="B2158" s="1" t="s">
        <v>13</v>
      </c>
      <c r="C2158" s="1">
        <v>38.4</v>
      </c>
      <c r="D2158" s="1">
        <v>1</v>
      </c>
    </row>
    <row r="2159" spans="1:4" x14ac:dyDescent="0.25">
      <c r="A2159" s="1">
        <f t="shared" si="38"/>
        <v>0</v>
      </c>
      <c r="B2159" s="1" t="s">
        <v>20</v>
      </c>
      <c r="C2159" s="1">
        <v>192</v>
      </c>
      <c r="D2159" s="1">
        <v>8</v>
      </c>
    </row>
    <row r="2160" spans="1:4" x14ac:dyDescent="0.25">
      <c r="A2160" s="1">
        <f t="shared" si="38"/>
        <v>0</v>
      </c>
      <c r="B2160" s="1" t="s">
        <v>8</v>
      </c>
      <c r="C2160" s="1">
        <v>219.2</v>
      </c>
      <c r="D2160" s="1">
        <v>8</v>
      </c>
    </row>
    <row r="2161" spans="1:4" x14ac:dyDescent="0.25">
      <c r="A2161" s="1">
        <f t="shared" si="38"/>
        <v>0</v>
      </c>
      <c r="B2161" s="1" t="s">
        <v>57</v>
      </c>
      <c r="C2161" s="1">
        <v>80</v>
      </c>
      <c r="D2161" s="1">
        <v>2</v>
      </c>
    </row>
    <row r="2162" spans="1:4" x14ac:dyDescent="0.25">
      <c r="A2162" s="1">
        <f t="shared" si="38"/>
        <v>0</v>
      </c>
      <c r="B2162" s="1" t="s">
        <v>15</v>
      </c>
      <c r="C2162" s="1">
        <v>68</v>
      </c>
      <c r="D2162" s="1">
        <v>1</v>
      </c>
    </row>
    <row r="2163" spans="1:4" x14ac:dyDescent="0.25">
      <c r="A2163" s="1">
        <f t="shared" si="38"/>
        <v>0</v>
      </c>
      <c r="B2163" s="1" t="s">
        <v>22</v>
      </c>
      <c r="C2163" s="1">
        <v>54.8</v>
      </c>
      <c r="D2163" s="1">
        <v>1</v>
      </c>
    </row>
    <row r="2164" spans="1:4" x14ac:dyDescent="0.25">
      <c r="A2164" s="1">
        <f t="shared" si="38"/>
        <v>0</v>
      </c>
      <c r="B2164" s="1" t="s">
        <v>54</v>
      </c>
      <c r="C2164" s="1">
        <v>38.4</v>
      </c>
      <c r="D2164" s="1">
        <v>1</v>
      </c>
    </row>
    <row r="2165" spans="1:4" x14ac:dyDescent="0.25">
      <c r="A2165" s="1">
        <f t="shared" si="38"/>
        <v>0</v>
      </c>
      <c r="B2165" s="1" t="s">
        <v>40</v>
      </c>
      <c r="C2165" s="1">
        <v>109.6</v>
      </c>
      <c r="D2165" s="1">
        <v>2</v>
      </c>
    </row>
    <row r="2166" spans="1:4" x14ac:dyDescent="0.25">
      <c r="A2166" s="1">
        <f t="shared" si="38"/>
        <v>0</v>
      </c>
      <c r="B2166" s="1" t="s">
        <v>12</v>
      </c>
      <c r="C2166" s="1">
        <v>35</v>
      </c>
      <c r="D2166" s="1">
        <v>1</v>
      </c>
    </row>
    <row r="2167" spans="1:4" x14ac:dyDescent="0.25">
      <c r="A2167" s="1">
        <f t="shared" si="38"/>
        <v>2167</v>
      </c>
      <c r="B2167" s="1" t="s">
        <v>157</v>
      </c>
    </row>
    <row r="2168" spans="1:4" x14ac:dyDescent="0.25">
      <c r="A2168" s="1">
        <f t="shared" si="38"/>
        <v>0</v>
      </c>
      <c r="B2168" s="1" t="s">
        <v>1</v>
      </c>
      <c r="C2168" s="1">
        <v>31</v>
      </c>
    </row>
    <row r="2169" spans="1:4" x14ac:dyDescent="0.25">
      <c r="A2169" s="1">
        <f t="shared" si="38"/>
        <v>0</v>
      </c>
      <c r="B2169" s="1" t="s">
        <v>2</v>
      </c>
      <c r="C2169" s="1">
        <v>1565.4</v>
      </c>
    </row>
    <row r="2170" spans="1:4" x14ac:dyDescent="0.25">
      <c r="A2170" s="1">
        <f t="shared" si="38"/>
        <v>0</v>
      </c>
      <c r="B2170" s="1" t="s">
        <v>3</v>
      </c>
      <c r="C2170" s="1" t="s">
        <v>4</v>
      </c>
      <c r="D2170" s="1" t="s">
        <v>5</v>
      </c>
    </row>
    <row r="2171" spans="1:4" x14ac:dyDescent="0.25">
      <c r="A2171" s="1">
        <f t="shared" si="38"/>
        <v>0</v>
      </c>
      <c r="B2171" s="1" t="s">
        <v>57</v>
      </c>
      <c r="C2171" s="1">
        <v>40</v>
      </c>
      <c r="D2171" s="1">
        <v>1</v>
      </c>
    </row>
    <row r="2172" spans="1:4" x14ac:dyDescent="0.25">
      <c r="A2172" s="1">
        <f t="shared" si="38"/>
        <v>0</v>
      </c>
      <c r="B2172" s="1" t="s">
        <v>40</v>
      </c>
      <c r="C2172" s="1">
        <v>54.8</v>
      </c>
      <c r="D2172" s="1">
        <v>1</v>
      </c>
    </row>
    <row r="2173" spans="1:4" x14ac:dyDescent="0.25">
      <c r="A2173" s="1">
        <f t="shared" si="38"/>
        <v>0</v>
      </c>
      <c r="B2173" s="1" t="s">
        <v>20</v>
      </c>
      <c r="C2173" s="1">
        <v>153.6</v>
      </c>
      <c r="D2173" s="1">
        <v>4</v>
      </c>
    </row>
    <row r="2174" spans="1:4" x14ac:dyDescent="0.25">
      <c r="A2174" s="1">
        <f t="shared" si="38"/>
        <v>0</v>
      </c>
      <c r="B2174" s="1" t="s">
        <v>12</v>
      </c>
      <c r="C2174" s="1">
        <v>35</v>
      </c>
      <c r="D2174" s="1">
        <v>1</v>
      </c>
    </row>
    <row r="2175" spans="1:4" x14ac:dyDescent="0.25">
      <c r="A2175" s="1">
        <f t="shared" si="38"/>
        <v>0</v>
      </c>
      <c r="B2175" s="1" t="s">
        <v>25</v>
      </c>
      <c r="C2175" s="1">
        <v>40</v>
      </c>
      <c r="D2175" s="1">
        <v>1</v>
      </c>
    </row>
    <row r="2176" spans="1:4" x14ac:dyDescent="0.25">
      <c r="A2176" s="1">
        <f t="shared" si="38"/>
        <v>0</v>
      </c>
      <c r="B2176" s="1" t="s">
        <v>49</v>
      </c>
      <c r="C2176" s="1">
        <v>80</v>
      </c>
      <c r="D2176" s="1">
        <v>2</v>
      </c>
    </row>
    <row r="2177" spans="1:4" x14ac:dyDescent="0.25">
      <c r="A2177" s="1">
        <f t="shared" si="38"/>
        <v>0</v>
      </c>
      <c r="B2177" s="1" t="s">
        <v>16</v>
      </c>
      <c r="C2177" s="1">
        <v>105.6</v>
      </c>
      <c r="D2177" s="1">
        <v>3</v>
      </c>
    </row>
    <row r="2178" spans="1:4" x14ac:dyDescent="0.25">
      <c r="A2178" s="1">
        <f t="shared" ref="A2178:A2241" si="39">IF(COUNTIF($V$3:$Y$99, $B2178)&lt;&gt;0, ROW($B2178), 0)</f>
        <v>0</v>
      </c>
      <c r="B2178" s="1" t="s">
        <v>7</v>
      </c>
      <c r="C2178" s="1">
        <v>54.8</v>
      </c>
      <c r="D2178" s="1">
        <v>1</v>
      </c>
    </row>
    <row r="2179" spans="1:4" x14ac:dyDescent="0.25">
      <c r="A2179" s="1">
        <f t="shared" si="39"/>
        <v>0</v>
      </c>
      <c r="B2179" s="1" t="s">
        <v>9</v>
      </c>
      <c r="C2179" s="1">
        <v>54.8</v>
      </c>
      <c r="D2179" s="1">
        <v>1</v>
      </c>
    </row>
    <row r="2180" spans="1:4" x14ac:dyDescent="0.25">
      <c r="A2180" s="1">
        <f t="shared" si="39"/>
        <v>0</v>
      </c>
      <c r="B2180" s="1" t="s">
        <v>15</v>
      </c>
      <c r="C2180" s="1">
        <v>680</v>
      </c>
      <c r="D2180" s="1">
        <v>11</v>
      </c>
    </row>
    <row r="2181" spans="1:4" x14ac:dyDescent="0.25">
      <c r="A2181" s="1">
        <f t="shared" si="39"/>
        <v>0</v>
      </c>
      <c r="B2181" s="1" t="s">
        <v>52</v>
      </c>
      <c r="C2181" s="1">
        <v>64</v>
      </c>
      <c r="D2181" s="1">
        <v>1</v>
      </c>
    </row>
    <row r="2182" spans="1:4" x14ac:dyDescent="0.25">
      <c r="A2182" s="1">
        <f t="shared" si="39"/>
        <v>0</v>
      </c>
      <c r="B2182" s="1" t="s">
        <v>54</v>
      </c>
      <c r="C2182" s="1">
        <v>38.4</v>
      </c>
      <c r="D2182" s="1">
        <v>1</v>
      </c>
    </row>
    <row r="2183" spans="1:4" x14ac:dyDescent="0.25">
      <c r="A2183" s="1">
        <f t="shared" si="39"/>
        <v>0</v>
      </c>
      <c r="B2183" s="1" t="s">
        <v>21</v>
      </c>
      <c r="C2183" s="1">
        <v>109.6</v>
      </c>
      <c r="D2183" s="1">
        <v>2</v>
      </c>
    </row>
    <row r="2184" spans="1:4" x14ac:dyDescent="0.25">
      <c r="A2184" s="1">
        <f t="shared" si="39"/>
        <v>0</v>
      </c>
      <c r="B2184" s="1" t="s">
        <v>8</v>
      </c>
      <c r="C2184" s="1">
        <v>54.8</v>
      </c>
      <c r="D2184" s="1">
        <v>1</v>
      </c>
    </row>
    <row r="2185" spans="1:4" x14ac:dyDescent="0.25">
      <c r="A2185" s="1">
        <f t="shared" si="39"/>
        <v>2185</v>
      </c>
      <c r="B2185" s="1" t="s">
        <v>158</v>
      </c>
    </row>
    <row r="2186" spans="1:4" x14ac:dyDescent="0.25">
      <c r="A2186" s="1">
        <f t="shared" si="39"/>
        <v>0</v>
      </c>
      <c r="B2186" s="1" t="s">
        <v>1</v>
      </c>
      <c r="C2186" s="1">
        <v>32</v>
      </c>
    </row>
    <row r="2187" spans="1:4" x14ac:dyDescent="0.25">
      <c r="A2187" s="1">
        <f t="shared" si="39"/>
        <v>0</v>
      </c>
      <c r="B2187" s="1" t="s">
        <v>2</v>
      </c>
      <c r="C2187" s="1">
        <v>1368.65</v>
      </c>
    </row>
    <row r="2188" spans="1:4" x14ac:dyDescent="0.25">
      <c r="A2188" s="1">
        <f t="shared" si="39"/>
        <v>0</v>
      </c>
      <c r="B2188" s="1" t="s">
        <v>3</v>
      </c>
      <c r="C2188" s="1" t="s">
        <v>4</v>
      </c>
      <c r="D2188" s="1" t="s">
        <v>5</v>
      </c>
    </row>
    <row r="2189" spans="1:4" x14ac:dyDescent="0.25">
      <c r="A2189" s="1">
        <f t="shared" si="39"/>
        <v>0</v>
      </c>
      <c r="B2189" s="1" t="s">
        <v>57</v>
      </c>
      <c r="C2189" s="1">
        <v>40</v>
      </c>
      <c r="D2189" s="1">
        <v>1</v>
      </c>
    </row>
    <row r="2190" spans="1:4" x14ac:dyDescent="0.25">
      <c r="A2190" s="1">
        <f t="shared" si="39"/>
        <v>0</v>
      </c>
      <c r="B2190" s="1" t="s">
        <v>19</v>
      </c>
      <c r="C2190" s="1">
        <v>57.5</v>
      </c>
      <c r="D2190" s="1">
        <v>2</v>
      </c>
    </row>
    <row r="2191" spans="1:4" x14ac:dyDescent="0.25">
      <c r="A2191" s="1">
        <f t="shared" si="39"/>
        <v>0</v>
      </c>
      <c r="B2191" s="1" t="s">
        <v>10</v>
      </c>
      <c r="C2191" s="1">
        <v>153.6</v>
      </c>
      <c r="D2191" s="1">
        <v>4</v>
      </c>
    </row>
    <row r="2192" spans="1:4" x14ac:dyDescent="0.25">
      <c r="A2192" s="1">
        <f t="shared" si="39"/>
        <v>0</v>
      </c>
      <c r="B2192" s="1" t="s">
        <v>22</v>
      </c>
      <c r="C2192" s="1">
        <v>109.6</v>
      </c>
      <c r="D2192" s="1">
        <v>2</v>
      </c>
    </row>
    <row r="2193" spans="1:4" x14ac:dyDescent="0.25">
      <c r="A2193" s="1">
        <f t="shared" si="39"/>
        <v>0</v>
      </c>
      <c r="B2193" s="1" t="s">
        <v>21</v>
      </c>
      <c r="C2193" s="1">
        <v>274</v>
      </c>
      <c r="D2193" s="1">
        <v>5</v>
      </c>
    </row>
    <row r="2194" spans="1:4" x14ac:dyDescent="0.25">
      <c r="A2194" s="1">
        <f t="shared" si="39"/>
        <v>0</v>
      </c>
      <c r="B2194" s="1" t="s">
        <v>8</v>
      </c>
      <c r="C2194" s="1">
        <v>109.6</v>
      </c>
      <c r="D2194" s="1">
        <v>2</v>
      </c>
    </row>
    <row r="2195" spans="1:4" x14ac:dyDescent="0.25">
      <c r="A2195" s="1">
        <f t="shared" si="39"/>
        <v>0</v>
      </c>
      <c r="B2195" s="1" t="s">
        <v>12</v>
      </c>
      <c r="C2195" s="1">
        <v>140</v>
      </c>
      <c r="D2195" s="1">
        <v>4</v>
      </c>
    </row>
    <row r="2196" spans="1:4" x14ac:dyDescent="0.25">
      <c r="A2196" s="1">
        <f t="shared" si="39"/>
        <v>0</v>
      </c>
      <c r="B2196" s="1" t="s">
        <v>9</v>
      </c>
      <c r="C2196" s="1">
        <v>54.8</v>
      </c>
      <c r="D2196" s="1">
        <v>1</v>
      </c>
    </row>
    <row r="2197" spans="1:4" x14ac:dyDescent="0.25">
      <c r="A2197" s="1">
        <f t="shared" si="39"/>
        <v>0</v>
      </c>
      <c r="B2197" s="1" t="s">
        <v>7</v>
      </c>
      <c r="C2197" s="1">
        <v>54.8</v>
      </c>
      <c r="D2197" s="1">
        <v>1</v>
      </c>
    </row>
    <row r="2198" spans="1:4" x14ac:dyDescent="0.25">
      <c r="A2198" s="1">
        <f t="shared" si="39"/>
        <v>0</v>
      </c>
      <c r="B2198" s="1" t="s">
        <v>11</v>
      </c>
      <c r="C2198" s="1">
        <v>40</v>
      </c>
      <c r="D2198" s="1">
        <v>1</v>
      </c>
    </row>
    <row r="2199" spans="1:4" x14ac:dyDescent="0.25">
      <c r="A2199" s="1">
        <f t="shared" si="39"/>
        <v>0</v>
      </c>
      <c r="B2199" s="1" t="s">
        <v>33</v>
      </c>
      <c r="C2199" s="1">
        <v>40</v>
      </c>
      <c r="D2199" s="1">
        <v>1</v>
      </c>
    </row>
    <row r="2200" spans="1:4" x14ac:dyDescent="0.25">
      <c r="A2200" s="1">
        <f t="shared" si="39"/>
        <v>0</v>
      </c>
      <c r="B2200" s="1" t="s">
        <v>41</v>
      </c>
      <c r="C2200" s="1">
        <v>28.75</v>
      </c>
      <c r="D2200" s="1">
        <v>1</v>
      </c>
    </row>
    <row r="2201" spans="1:4" x14ac:dyDescent="0.25">
      <c r="A2201" s="1">
        <f t="shared" si="39"/>
        <v>0</v>
      </c>
      <c r="B2201" s="1" t="s">
        <v>74</v>
      </c>
      <c r="C2201" s="1">
        <v>74</v>
      </c>
      <c r="D2201" s="1">
        <v>1</v>
      </c>
    </row>
    <row r="2202" spans="1:4" x14ac:dyDescent="0.25">
      <c r="A2202" s="1">
        <f t="shared" si="39"/>
        <v>0</v>
      </c>
      <c r="B2202" s="1" t="s">
        <v>56</v>
      </c>
      <c r="C2202" s="1">
        <v>38.4</v>
      </c>
      <c r="D2202" s="1">
        <v>1</v>
      </c>
    </row>
    <row r="2203" spans="1:4" x14ac:dyDescent="0.25">
      <c r="A2203" s="1">
        <f t="shared" si="39"/>
        <v>0</v>
      </c>
      <c r="B2203" s="1" t="s">
        <v>18</v>
      </c>
      <c r="C2203" s="1">
        <v>76.8</v>
      </c>
      <c r="D2203" s="1">
        <v>2</v>
      </c>
    </row>
    <row r="2204" spans="1:4" x14ac:dyDescent="0.25">
      <c r="A2204" s="1">
        <f t="shared" si="39"/>
        <v>0</v>
      </c>
      <c r="B2204" s="1" t="s">
        <v>27</v>
      </c>
      <c r="C2204" s="1">
        <v>38.4</v>
      </c>
      <c r="D2204" s="1">
        <v>2</v>
      </c>
    </row>
    <row r="2205" spans="1:4" x14ac:dyDescent="0.25">
      <c r="A2205" s="1">
        <f t="shared" si="39"/>
        <v>0</v>
      </c>
      <c r="B2205" s="1" t="s">
        <v>44</v>
      </c>
      <c r="C2205" s="1">
        <v>38.4</v>
      </c>
      <c r="D2205" s="1">
        <v>1</v>
      </c>
    </row>
    <row r="2206" spans="1:4" x14ac:dyDescent="0.25">
      <c r="A2206" s="1">
        <f t="shared" si="39"/>
        <v>2206</v>
      </c>
      <c r="B2206" s="1" t="s">
        <v>159</v>
      </c>
    </row>
    <row r="2207" spans="1:4" x14ac:dyDescent="0.25">
      <c r="A2207" s="1">
        <f t="shared" si="39"/>
        <v>0</v>
      </c>
      <c r="B2207" s="1" t="s">
        <v>1</v>
      </c>
      <c r="C2207" s="1">
        <v>22</v>
      </c>
    </row>
    <row r="2208" spans="1:4" x14ac:dyDescent="0.25">
      <c r="A2208" s="1">
        <f t="shared" si="39"/>
        <v>0</v>
      </c>
      <c r="B2208" s="1" t="s">
        <v>2</v>
      </c>
      <c r="C2208" s="1">
        <v>893.15</v>
      </c>
    </row>
    <row r="2209" spans="1:4" x14ac:dyDescent="0.25">
      <c r="A2209" s="1">
        <f t="shared" si="39"/>
        <v>0</v>
      </c>
      <c r="B2209" s="1" t="s">
        <v>3</v>
      </c>
      <c r="C2209" s="1" t="s">
        <v>4</v>
      </c>
      <c r="D2209" s="1" t="s">
        <v>5</v>
      </c>
    </row>
    <row r="2210" spans="1:4" x14ac:dyDescent="0.25">
      <c r="A2210" s="1">
        <f t="shared" si="39"/>
        <v>0</v>
      </c>
      <c r="B2210" s="1" t="s">
        <v>8</v>
      </c>
      <c r="C2210" s="1">
        <v>54.8</v>
      </c>
      <c r="D2210" s="1">
        <v>1</v>
      </c>
    </row>
    <row r="2211" spans="1:4" x14ac:dyDescent="0.25">
      <c r="A2211" s="1">
        <f t="shared" si="39"/>
        <v>0</v>
      </c>
      <c r="B2211" s="1" t="s">
        <v>18</v>
      </c>
      <c r="C2211" s="1">
        <v>115.2</v>
      </c>
      <c r="D2211" s="1">
        <v>3</v>
      </c>
    </row>
    <row r="2212" spans="1:4" x14ac:dyDescent="0.25">
      <c r="A2212" s="1">
        <f t="shared" si="39"/>
        <v>0</v>
      </c>
      <c r="B2212" s="1" t="s">
        <v>49</v>
      </c>
      <c r="C2212" s="1">
        <v>80</v>
      </c>
      <c r="D2212" s="1">
        <v>2</v>
      </c>
    </row>
    <row r="2213" spans="1:4" x14ac:dyDescent="0.25">
      <c r="A2213" s="1">
        <f t="shared" si="39"/>
        <v>0</v>
      </c>
      <c r="B2213" s="1" t="s">
        <v>7</v>
      </c>
      <c r="C2213" s="1">
        <v>54.8</v>
      </c>
      <c r="D2213" s="1">
        <v>1</v>
      </c>
    </row>
    <row r="2214" spans="1:4" x14ac:dyDescent="0.25">
      <c r="A2214" s="1">
        <f t="shared" si="39"/>
        <v>0</v>
      </c>
      <c r="B2214" s="1" t="s">
        <v>57</v>
      </c>
      <c r="C2214" s="1">
        <v>120</v>
      </c>
      <c r="D2214" s="1">
        <v>3</v>
      </c>
    </row>
    <row r="2215" spans="1:4" x14ac:dyDescent="0.25">
      <c r="A2215" s="1">
        <f t="shared" si="39"/>
        <v>0</v>
      </c>
      <c r="B2215" s="1" t="s">
        <v>17</v>
      </c>
      <c r="C2215" s="1">
        <v>38.4</v>
      </c>
      <c r="D2215" s="1">
        <v>2</v>
      </c>
    </row>
    <row r="2216" spans="1:4" x14ac:dyDescent="0.25">
      <c r="A2216" s="1">
        <f t="shared" si="39"/>
        <v>0</v>
      </c>
      <c r="B2216" s="1" t="s">
        <v>20</v>
      </c>
      <c r="C2216" s="1">
        <v>115.2</v>
      </c>
      <c r="D2216" s="1">
        <v>3</v>
      </c>
    </row>
    <row r="2217" spans="1:4" x14ac:dyDescent="0.25">
      <c r="A2217" s="1">
        <f t="shared" si="39"/>
        <v>0</v>
      </c>
      <c r="B2217" s="1" t="s">
        <v>33</v>
      </c>
      <c r="C2217" s="1">
        <v>120</v>
      </c>
      <c r="D2217" s="1">
        <v>3</v>
      </c>
    </row>
    <row r="2218" spans="1:4" x14ac:dyDescent="0.25">
      <c r="A2218" s="1">
        <f t="shared" si="39"/>
        <v>0</v>
      </c>
      <c r="B2218" s="1" t="s">
        <v>16</v>
      </c>
      <c r="C2218" s="1">
        <v>35.200000000000003</v>
      </c>
      <c r="D2218" s="1">
        <v>1</v>
      </c>
    </row>
    <row r="2219" spans="1:4" x14ac:dyDescent="0.25">
      <c r="A2219" s="1">
        <f t="shared" si="39"/>
        <v>0</v>
      </c>
      <c r="B2219" s="1" t="s">
        <v>40</v>
      </c>
      <c r="C2219" s="1">
        <v>54.8</v>
      </c>
      <c r="D2219" s="1">
        <v>1</v>
      </c>
    </row>
    <row r="2220" spans="1:4" x14ac:dyDescent="0.25">
      <c r="A2220" s="1">
        <f t="shared" si="39"/>
        <v>0</v>
      </c>
      <c r="B2220" s="1" t="s">
        <v>21</v>
      </c>
      <c r="C2220" s="1">
        <v>54.8</v>
      </c>
      <c r="D2220" s="1">
        <v>1</v>
      </c>
    </row>
    <row r="2221" spans="1:4" x14ac:dyDescent="0.25">
      <c r="A2221" s="1">
        <f t="shared" si="39"/>
        <v>0</v>
      </c>
      <c r="B2221" s="1" t="s">
        <v>67</v>
      </c>
      <c r="C2221" s="1">
        <v>49.95</v>
      </c>
      <c r="D2221" s="1">
        <v>1</v>
      </c>
    </row>
    <row r="2222" spans="1:4" x14ac:dyDescent="0.25">
      <c r="A2222" s="1">
        <f t="shared" si="39"/>
        <v>2222</v>
      </c>
      <c r="B2222" s="1" t="s">
        <v>160</v>
      </c>
    </row>
    <row r="2223" spans="1:4" x14ac:dyDescent="0.25">
      <c r="A2223" s="1">
        <f t="shared" si="39"/>
        <v>0</v>
      </c>
      <c r="B2223" s="1" t="s">
        <v>1</v>
      </c>
      <c r="C2223" s="1">
        <v>36</v>
      </c>
    </row>
    <row r="2224" spans="1:4" x14ac:dyDescent="0.25">
      <c r="A2224" s="1">
        <f t="shared" si="39"/>
        <v>0</v>
      </c>
      <c r="B2224" s="1" t="s">
        <v>2</v>
      </c>
      <c r="C2224" s="1">
        <v>1561.1</v>
      </c>
    </row>
    <row r="2225" spans="1:4" x14ac:dyDescent="0.25">
      <c r="A2225" s="1">
        <f t="shared" si="39"/>
        <v>0</v>
      </c>
      <c r="B2225" s="1" t="s">
        <v>3</v>
      </c>
      <c r="C2225" s="1" t="s">
        <v>4</v>
      </c>
      <c r="D2225" s="1" t="s">
        <v>5</v>
      </c>
    </row>
    <row r="2226" spans="1:4" x14ac:dyDescent="0.25">
      <c r="A2226" s="1">
        <f t="shared" si="39"/>
        <v>0</v>
      </c>
      <c r="B2226" s="1" t="s">
        <v>21</v>
      </c>
      <c r="C2226" s="1">
        <v>54.8</v>
      </c>
      <c r="D2226" s="1">
        <v>1</v>
      </c>
    </row>
    <row r="2227" spans="1:4" x14ac:dyDescent="0.25">
      <c r="A2227" s="1">
        <f t="shared" si="39"/>
        <v>0</v>
      </c>
      <c r="B2227" s="1" t="s">
        <v>78</v>
      </c>
      <c r="C2227" s="1">
        <v>54.8</v>
      </c>
      <c r="D2227" s="1">
        <v>1</v>
      </c>
    </row>
    <row r="2228" spans="1:4" x14ac:dyDescent="0.25">
      <c r="A2228" s="1">
        <f t="shared" si="39"/>
        <v>0</v>
      </c>
      <c r="B2228" s="1" t="s">
        <v>20</v>
      </c>
      <c r="C2228" s="1">
        <v>115.2</v>
      </c>
      <c r="D2228" s="1">
        <v>3</v>
      </c>
    </row>
    <row r="2229" spans="1:4" x14ac:dyDescent="0.25">
      <c r="A2229" s="1">
        <f t="shared" si="39"/>
        <v>0</v>
      </c>
      <c r="B2229" s="1" t="s">
        <v>8</v>
      </c>
      <c r="C2229" s="1">
        <v>328.8</v>
      </c>
      <c r="D2229" s="1">
        <v>6</v>
      </c>
    </row>
    <row r="2230" spans="1:4" x14ac:dyDescent="0.25">
      <c r="A2230" s="1">
        <f t="shared" si="39"/>
        <v>0</v>
      </c>
      <c r="B2230" s="1" t="s">
        <v>16</v>
      </c>
      <c r="C2230" s="1">
        <v>35.200000000000003</v>
      </c>
      <c r="D2230" s="1">
        <v>1</v>
      </c>
    </row>
    <row r="2231" spans="1:4" x14ac:dyDescent="0.25">
      <c r="A2231" s="1">
        <f t="shared" si="39"/>
        <v>0</v>
      </c>
      <c r="B2231" s="1" t="s">
        <v>35</v>
      </c>
      <c r="C2231" s="1">
        <v>38.4</v>
      </c>
      <c r="D2231" s="1">
        <v>1</v>
      </c>
    </row>
    <row r="2232" spans="1:4" x14ac:dyDescent="0.25">
      <c r="A2232" s="1">
        <f t="shared" si="39"/>
        <v>0</v>
      </c>
      <c r="B2232" s="1" t="s">
        <v>36</v>
      </c>
      <c r="C2232" s="1">
        <v>76.8</v>
      </c>
      <c r="D2232" s="1">
        <v>2</v>
      </c>
    </row>
    <row r="2233" spans="1:4" x14ac:dyDescent="0.25">
      <c r="A2233" s="1">
        <f t="shared" si="39"/>
        <v>0</v>
      </c>
      <c r="B2233" s="1" t="s">
        <v>18</v>
      </c>
      <c r="C2233" s="1">
        <v>153.6</v>
      </c>
      <c r="D2233" s="1">
        <v>4</v>
      </c>
    </row>
    <row r="2234" spans="1:4" x14ac:dyDescent="0.25">
      <c r="A2234" s="1">
        <f t="shared" si="39"/>
        <v>0</v>
      </c>
      <c r="B2234" s="1" t="s">
        <v>32</v>
      </c>
      <c r="C2234" s="1">
        <v>38.4</v>
      </c>
      <c r="D2234" s="1">
        <v>1</v>
      </c>
    </row>
    <row r="2235" spans="1:4" x14ac:dyDescent="0.25">
      <c r="A2235" s="1">
        <f t="shared" si="39"/>
        <v>0</v>
      </c>
      <c r="B2235" s="1" t="s">
        <v>12</v>
      </c>
      <c r="C2235" s="1">
        <v>140</v>
      </c>
      <c r="D2235" s="1">
        <v>4</v>
      </c>
    </row>
    <row r="2236" spans="1:4" x14ac:dyDescent="0.25">
      <c r="A2236" s="1">
        <f t="shared" si="39"/>
        <v>0</v>
      </c>
      <c r="B2236" s="1" t="s">
        <v>15</v>
      </c>
      <c r="C2236" s="1">
        <v>136</v>
      </c>
      <c r="D2236" s="1">
        <v>2</v>
      </c>
    </row>
    <row r="2237" spans="1:4" x14ac:dyDescent="0.25">
      <c r="A2237" s="1">
        <f t="shared" si="39"/>
        <v>0</v>
      </c>
      <c r="B2237" s="1" t="s">
        <v>49</v>
      </c>
      <c r="C2237" s="1">
        <v>200</v>
      </c>
      <c r="D2237" s="1">
        <v>5</v>
      </c>
    </row>
    <row r="2238" spans="1:4" x14ac:dyDescent="0.25">
      <c r="A2238" s="1">
        <f t="shared" si="39"/>
        <v>0</v>
      </c>
      <c r="B2238" s="1" t="s">
        <v>27</v>
      </c>
      <c r="C2238" s="1">
        <v>38.4</v>
      </c>
      <c r="D2238" s="1">
        <v>1</v>
      </c>
    </row>
    <row r="2239" spans="1:4" x14ac:dyDescent="0.25">
      <c r="A2239" s="1">
        <f t="shared" si="39"/>
        <v>0</v>
      </c>
      <c r="B2239" s="1" t="s">
        <v>55</v>
      </c>
      <c r="C2239" s="1">
        <v>38.4</v>
      </c>
      <c r="D2239" s="1">
        <v>1</v>
      </c>
    </row>
    <row r="2240" spans="1:4" x14ac:dyDescent="0.25">
      <c r="A2240" s="1">
        <f t="shared" si="39"/>
        <v>0</v>
      </c>
      <c r="B2240" s="1" t="s">
        <v>45</v>
      </c>
      <c r="C2240" s="1">
        <v>57.5</v>
      </c>
      <c r="D2240" s="1">
        <v>2</v>
      </c>
    </row>
    <row r="2241" spans="1:4" x14ac:dyDescent="0.25">
      <c r="A2241" s="1">
        <f t="shared" si="39"/>
        <v>0</v>
      </c>
      <c r="B2241" s="1" t="s">
        <v>7</v>
      </c>
      <c r="C2241" s="1">
        <v>54.8</v>
      </c>
      <c r="D2241" s="1">
        <v>1</v>
      </c>
    </row>
    <row r="2242" spans="1:4" x14ac:dyDescent="0.25">
      <c r="A2242" s="1">
        <f t="shared" ref="A2242:A2305" si="40">IF(COUNTIF($V$3:$Y$99, $B2242)&lt;&gt;0, ROW($B2242), 0)</f>
        <v>2242</v>
      </c>
      <c r="B2242" s="1" t="s">
        <v>161</v>
      </c>
    </row>
    <row r="2243" spans="1:4" x14ac:dyDescent="0.25">
      <c r="A2243" s="1">
        <f t="shared" si="40"/>
        <v>0</v>
      </c>
      <c r="B2243" s="1" t="s">
        <v>1</v>
      </c>
      <c r="C2243" s="1">
        <v>24</v>
      </c>
    </row>
    <row r="2244" spans="1:4" x14ac:dyDescent="0.25">
      <c r="A2244" s="1">
        <f t="shared" si="40"/>
        <v>0</v>
      </c>
      <c r="B2244" s="1" t="s">
        <v>2</v>
      </c>
      <c r="C2244" s="1">
        <v>903.4</v>
      </c>
    </row>
    <row r="2245" spans="1:4" x14ac:dyDescent="0.25">
      <c r="A2245" s="1">
        <f t="shared" si="40"/>
        <v>0</v>
      </c>
      <c r="B2245" s="1" t="s">
        <v>3</v>
      </c>
      <c r="C2245" s="1" t="s">
        <v>4</v>
      </c>
      <c r="D2245" s="1" t="s">
        <v>5</v>
      </c>
    </row>
    <row r="2246" spans="1:4" x14ac:dyDescent="0.25">
      <c r="A2246" s="1">
        <f t="shared" si="40"/>
        <v>0</v>
      </c>
      <c r="B2246" s="1" t="s">
        <v>20</v>
      </c>
      <c r="C2246" s="1">
        <v>76.8</v>
      </c>
      <c r="D2246" s="1">
        <v>2</v>
      </c>
    </row>
    <row r="2247" spans="1:4" x14ac:dyDescent="0.25">
      <c r="A2247" s="1">
        <f t="shared" si="40"/>
        <v>0</v>
      </c>
      <c r="B2247" s="1" t="s">
        <v>8</v>
      </c>
      <c r="C2247" s="1">
        <v>164.4</v>
      </c>
      <c r="D2247" s="1">
        <v>3</v>
      </c>
    </row>
    <row r="2248" spans="1:4" x14ac:dyDescent="0.25">
      <c r="A2248" s="1">
        <f t="shared" si="40"/>
        <v>0</v>
      </c>
      <c r="B2248" s="1" t="s">
        <v>13</v>
      </c>
      <c r="C2248" s="1">
        <v>153.6</v>
      </c>
      <c r="D2248" s="1">
        <v>6</v>
      </c>
    </row>
    <row r="2249" spans="1:4" x14ac:dyDescent="0.25">
      <c r="A2249" s="1">
        <f t="shared" si="40"/>
        <v>0</v>
      </c>
      <c r="B2249" s="1" t="s">
        <v>10</v>
      </c>
      <c r="C2249" s="1">
        <v>115.2</v>
      </c>
      <c r="D2249" s="1">
        <v>5</v>
      </c>
    </row>
    <row r="2250" spans="1:4" x14ac:dyDescent="0.25">
      <c r="A2250" s="1">
        <f t="shared" si="40"/>
        <v>0</v>
      </c>
      <c r="B2250" s="1" t="s">
        <v>17</v>
      </c>
      <c r="C2250" s="1">
        <v>38.4</v>
      </c>
      <c r="D2250" s="1">
        <v>1</v>
      </c>
    </row>
    <row r="2251" spans="1:4" x14ac:dyDescent="0.25">
      <c r="A2251" s="1">
        <f t="shared" si="40"/>
        <v>0</v>
      </c>
      <c r="B2251" s="1" t="s">
        <v>12</v>
      </c>
      <c r="C2251" s="1">
        <v>35</v>
      </c>
      <c r="D2251" s="1">
        <v>1</v>
      </c>
    </row>
    <row r="2252" spans="1:4" x14ac:dyDescent="0.25">
      <c r="A2252" s="1">
        <f t="shared" si="40"/>
        <v>0</v>
      </c>
      <c r="B2252" s="1" t="s">
        <v>49</v>
      </c>
      <c r="C2252" s="1">
        <v>40</v>
      </c>
      <c r="D2252" s="1">
        <v>1</v>
      </c>
    </row>
    <row r="2253" spans="1:4" x14ac:dyDescent="0.25">
      <c r="A2253" s="1">
        <f t="shared" si="40"/>
        <v>0</v>
      </c>
      <c r="B2253" s="1" t="s">
        <v>40</v>
      </c>
      <c r="C2253" s="1">
        <v>54.8</v>
      </c>
      <c r="D2253" s="1">
        <v>1</v>
      </c>
    </row>
    <row r="2254" spans="1:4" x14ac:dyDescent="0.25">
      <c r="A2254" s="1">
        <f t="shared" si="40"/>
        <v>0</v>
      </c>
      <c r="B2254" s="1" t="s">
        <v>61</v>
      </c>
      <c r="C2254" s="1">
        <v>64</v>
      </c>
      <c r="D2254" s="1">
        <v>1</v>
      </c>
    </row>
    <row r="2255" spans="1:4" x14ac:dyDescent="0.25">
      <c r="A2255" s="1">
        <f t="shared" si="40"/>
        <v>0</v>
      </c>
      <c r="B2255" s="1" t="s">
        <v>54</v>
      </c>
      <c r="C2255" s="1">
        <v>38.4</v>
      </c>
      <c r="D2255" s="1">
        <v>1</v>
      </c>
    </row>
    <row r="2256" spans="1:4" x14ac:dyDescent="0.25">
      <c r="A2256" s="1">
        <f t="shared" si="40"/>
        <v>0</v>
      </c>
      <c r="B2256" s="1" t="s">
        <v>7</v>
      </c>
      <c r="C2256" s="1">
        <v>54.8</v>
      </c>
      <c r="D2256" s="1">
        <v>1</v>
      </c>
    </row>
    <row r="2257" spans="1:4" x14ac:dyDescent="0.25">
      <c r="A2257" s="1">
        <f t="shared" si="40"/>
        <v>0</v>
      </c>
      <c r="B2257" s="1" t="s">
        <v>15</v>
      </c>
      <c r="C2257" s="1">
        <v>68</v>
      </c>
      <c r="D2257" s="1">
        <v>1</v>
      </c>
    </row>
    <row r="2258" spans="1:4" x14ac:dyDescent="0.25">
      <c r="A2258" s="1">
        <f t="shared" si="40"/>
        <v>2258</v>
      </c>
      <c r="B2258" s="1" t="s">
        <v>162</v>
      </c>
    </row>
    <row r="2259" spans="1:4" x14ac:dyDescent="0.25">
      <c r="A2259" s="1">
        <f t="shared" si="40"/>
        <v>0</v>
      </c>
      <c r="B2259" s="1" t="s">
        <v>1</v>
      </c>
      <c r="C2259" s="1">
        <v>35</v>
      </c>
    </row>
    <row r="2260" spans="1:4" x14ac:dyDescent="0.25">
      <c r="A2260" s="1">
        <f t="shared" si="40"/>
        <v>0</v>
      </c>
      <c r="B2260" s="1" t="s">
        <v>2</v>
      </c>
      <c r="C2260" s="1">
        <v>1532.7</v>
      </c>
    </row>
    <row r="2261" spans="1:4" x14ac:dyDescent="0.25">
      <c r="A2261" s="1">
        <f t="shared" si="40"/>
        <v>0</v>
      </c>
      <c r="B2261" s="1" t="s">
        <v>3</v>
      </c>
      <c r="C2261" s="1" t="s">
        <v>4</v>
      </c>
      <c r="D2261" s="1" t="s">
        <v>5</v>
      </c>
    </row>
    <row r="2262" spans="1:4" x14ac:dyDescent="0.25">
      <c r="A2262" s="1">
        <f t="shared" si="40"/>
        <v>0</v>
      </c>
      <c r="B2262" s="1" t="s">
        <v>17</v>
      </c>
      <c r="C2262" s="1">
        <v>115.2</v>
      </c>
      <c r="D2262" s="1">
        <v>3</v>
      </c>
    </row>
    <row r="2263" spans="1:4" x14ac:dyDescent="0.25">
      <c r="A2263" s="1">
        <f t="shared" si="40"/>
        <v>0</v>
      </c>
      <c r="B2263" s="1" t="s">
        <v>40</v>
      </c>
      <c r="C2263" s="1">
        <v>219.2</v>
      </c>
      <c r="D2263" s="1">
        <v>4</v>
      </c>
    </row>
    <row r="2264" spans="1:4" x14ac:dyDescent="0.25">
      <c r="A2264" s="1">
        <f t="shared" si="40"/>
        <v>0</v>
      </c>
      <c r="B2264" s="1" t="s">
        <v>12</v>
      </c>
      <c r="C2264" s="1">
        <v>70</v>
      </c>
      <c r="D2264" s="1">
        <v>2</v>
      </c>
    </row>
    <row r="2265" spans="1:4" x14ac:dyDescent="0.25">
      <c r="A2265" s="1">
        <f t="shared" si="40"/>
        <v>0</v>
      </c>
      <c r="B2265" s="1" t="s">
        <v>49</v>
      </c>
      <c r="C2265" s="1">
        <v>80</v>
      </c>
      <c r="D2265" s="1">
        <v>2</v>
      </c>
    </row>
    <row r="2266" spans="1:4" x14ac:dyDescent="0.25">
      <c r="A2266" s="1">
        <f t="shared" si="40"/>
        <v>0</v>
      </c>
      <c r="B2266" s="1" t="s">
        <v>19</v>
      </c>
      <c r="C2266" s="1">
        <v>57.5</v>
      </c>
      <c r="D2266" s="1">
        <v>2</v>
      </c>
    </row>
    <row r="2267" spans="1:4" x14ac:dyDescent="0.25">
      <c r="A2267" s="1">
        <f t="shared" si="40"/>
        <v>0</v>
      </c>
      <c r="B2267" s="1" t="s">
        <v>8</v>
      </c>
      <c r="C2267" s="1">
        <v>274</v>
      </c>
      <c r="D2267" s="1">
        <v>5</v>
      </c>
    </row>
    <row r="2268" spans="1:4" x14ac:dyDescent="0.25">
      <c r="A2268" s="1">
        <f t="shared" si="40"/>
        <v>0</v>
      </c>
      <c r="B2268" s="1" t="s">
        <v>20</v>
      </c>
      <c r="C2268" s="1">
        <v>192</v>
      </c>
      <c r="D2268" s="1">
        <v>5</v>
      </c>
    </row>
    <row r="2269" spans="1:4" x14ac:dyDescent="0.25">
      <c r="A2269" s="1">
        <f t="shared" si="40"/>
        <v>0</v>
      </c>
      <c r="B2269" s="1" t="s">
        <v>27</v>
      </c>
      <c r="C2269" s="1">
        <v>76.8</v>
      </c>
      <c r="D2269" s="1">
        <v>2</v>
      </c>
    </row>
    <row r="2270" spans="1:4" x14ac:dyDescent="0.25">
      <c r="A2270" s="1">
        <f t="shared" si="40"/>
        <v>0</v>
      </c>
      <c r="B2270" s="1" t="s">
        <v>10</v>
      </c>
      <c r="C2270" s="1">
        <v>38.4</v>
      </c>
      <c r="D2270" s="1">
        <v>1</v>
      </c>
    </row>
    <row r="2271" spans="1:4" x14ac:dyDescent="0.25">
      <c r="A2271" s="1">
        <f t="shared" si="40"/>
        <v>0</v>
      </c>
      <c r="B2271" s="1" t="s">
        <v>35</v>
      </c>
      <c r="C2271" s="1">
        <v>38.4</v>
      </c>
      <c r="D2271" s="1">
        <v>1</v>
      </c>
    </row>
    <row r="2272" spans="1:4" x14ac:dyDescent="0.25">
      <c r="A2272" s="1">
        <f t="shared" si="40"/>
        <v>0</v>
      </c>
      <c r="B2272" s="1" t="s">
        <v>15</v>
      </c>
      <c r="C2272" s="1">
        <v>68</v>
      </c>
      <c r="D2272" s="1">
        <v>1</v>
      </c>
    </row>
    <row r="2273" spans="1:4" x14ac:dyDescent="0.25">
      <c r="A2273" s="1">
        <f t="shared" si="40"/>
        <v>0</v>
      </c>
      <c r="B2273" s="1" t="s">
        <v>18</v>
      </c>
      <c r="C2273" s="1">
        <v>38.4</v>
      </c>
      <c r="D2273" s="1">
        <v>1</v>
      </c>
    </row>
    <row r="2274" spans="1:4" x14ac:dyDescent="0.25">
      <c r="A2274" s="1">
        <f t="shared" si="40"/>
        <v>0</v>
      </c>
      <c r="B2274" s="1" t="s">
        <v>7</v>
      </c>
      <c r="C2274" s="1">
        <v>109.6</v>
      </c>
      <c r="D2274" s="1">
        <v>2</v>
      </c>
    </row>
    <row r="2275" spans="1:4" x14ac:dyDescent="0.25">
      <c r="A2275" s="1">
        <f t="shared" si="40"/>
        <v>0</v>
      </c>
      <c r="B2275" s="1" t="s">
        <v>56</v>
      </c>
      <c r="C2275" s="1">
        <v>38.4</v>
      </c>
      <c r="D2275" s="1">
        <v>1</v>
      </c>
    </row>
    <row r="2276" spans="1:4" x14ac:dyDescent="0.25">
      <c r="A2276" s="1">
        <f t="shared" si="40"/>
        <v>0</v>
      </c>
      <c r="B2276" s="1" t="s">
        <v>44</v>
      </c>
      <c r="C2276" s="1">
        <v>38.4</v>
      </c>
      <c r="D2276" s="1">
        <v>1</v>
      </c>
    </row>
    <row r="2277" spans="1:4" x14ac:dyDescent="0.25">
      <c r="A2277" s="1">
        <f t="shared" si="40"/>
        <v>0</v>
      </c>
      <c r="B2277" s="1" t="s">
        <v>54</v>
      </c>
      <c r="C2277" s="1">
        <v>38.4</v>
      </c>
      <c r="D2277" s="1">
        <v>1</v>
      </c>
    </row>
    <row r="2278" spans="1:4" x14ac:dyDescent="0.25">
      <c r="A2278" s="1">
        <f t="shared" si="40"/>
        <v>0</v>
      </c>
      <c r="B2278" s="1" t="s">
        <v>59</v>
      </c>
      <c r="C2278" s="1">
        <v>40</v>
      </c>
      <c r="D2278" s="1">
        <v>1</v>
      </c>
    </row>
    <row r="2279" spans="1:4" x14ac:dyDescent="0.25">
      <c r="A2279" s="1">
        <f t="shared" si="40"/>
        <v>2279</v>
      </c>
      <c r="B2279" s="1" t="s">
        <v>163</v>
      </c>
    </row>
    <row r="2280" spans="1:4" x14ac:dyDescent="0.25">
      <c r="A2280" s="1">
        <f t="shared" si="40"/>
        <v>0</v>
      </c>
      <c r="B2280" s="1" t="s">
        <v>1</v>
      </c>
      <c r="C2280" s="1">
        <v>56</v>
      </c>
    </row>
    <row r="2281" spans="1:4" x14ac:dyDescent="0.25">
      <c r="A2281" s="1">
        <f t="shared" si="40"/>
        <v>0</v>
      </c>
      <c r="B2281" s="1" t="s">
        <v>2</v>
      </c>
      <c r="C2281" s="1">
        <v>2115.69</v>
      </c>
    </row>
    <row r="2282" spans="1:4" x14ac:dyDescent="0.25">
      <c r="A2282" s="1">
        <f t="shared" si="40"/>
        <v>0</v>
      </c>
      <c r="B2282" s="1" t="s">
        <v>3</v>
      </c>
      <c r="C2282" s="1" t="s">
        <v>4</v>
      </c>
      <c r="D2282" s="1" t="s">
        <v>5</v>
      </c>
    </row>
    <row r="2283" spans="1:4" x14ac:dyDescent="0.25">
      <c r="A2283" s="1">
        <f t="shared" si="40"/>
        <v>0</v>
      </c>
      <c r="B2283" s="1" t="s">
        <v>8</v>
      </c>
      <c r="C2283" s="1">
        <v>438.4</v>
      </c>
      <c r="D2283" s="1">
        <v>10</v>
      </c>
    </row>
    <row r="2284" spans="1:4" x14ac:dyDescent="0.25">
      <c r="A2284" s="1">
        <f t="shared" si="40"/>
        <v>0</v>
      </c>
      <c r="B2284" s="1" t="s">
        <v>18</v>
      </c>
      <c r="C2284" s="1">
        <v>153.6</v>
      </c>
      <c r="D2284" s="1">
        <v>4</v>
      </c>
    </row>
    <row r="2285" spans="1:4" x14ac:dyDescent="0.25">
      <c r="A2285" s="1">
        <f t="shared" si="40"/>
        <v>0</v>
      </c>
      <c r="B2285" s="1" t="s">
        <v>20</v>
      </c>
      <c r="C2285" s="1">
        <v>192</v>
      </c>
      <c r="D2285" s="1">
        <v>8</v>
      </c>
    </row>
    <row r="2286" spans="1:4" x14ac:dyDescent="0.25">
      <c r="A2286" s="1">
        <f t="shared" si="40"/>
        <v>0</v>
      </c>
      <c r="B2286" s="1" t="s">
        <v>57</v>
      </c>
      <c r="C2286" s="1">
        <v>40</v>
      </c>
      <c r="D2286" s="1">
        <v>1</v>
      </c>
    </row>
    <row r="2287" spans="1:4" x14ac:dyDescent="0.25">
      <c r="A2287" s="1">
        <f t="shared" si="40"/>
        <v>0</v>
      </c>
      <c r="B2287" s="1" t="s">
        <v>12</v>
      </c>
      <c r="C2287" s="1">
        <v>175</v>
      </c>
      <c r="D2287" s="1">
        <v>5</v>
      </c>
    </row>
    <row r="2288" spans="1:4" x14ac:dyDescent="0.25">
      <c r="A2288" s="1">
        <f t="shared" si="40"/>
        <v>0</v>
      </c>
      <c r="B2288" s="1" t="s">
        <v>22</v>
      </c>
      <c r="C2288" s="1">
        <v>54.8</v>
      </c>
      <c r="D2288" s="1">
        <v>1</v>
      </c>
    </row>
    <row r="2289" spans="1:4" x14ac:dyDescent="0.25">
      <c r="A2289" s="1">
        <f t="shared" si="40"/>
        <v>0</v>
      </c>
      <c r="B2289" s="1" t="s">
        <v>15</v>
      </c>
      <c r="C2289" s="1">
        <v>204</v>
      </c>
      <c r="D2289" s="1">
        <v>3</v>
      </c>
    </row>
    <row r="2290" spans="1:4" x14ac:dyDescent="0.25">
      <c r="A2290" s="1">
        <f t="shared" si="40"/>
        <v>0</v>
      </c>
      <c r="B2290" s="1" t="s">
        <v>49</v>
      </c>
      <c r="C2290" s="1">
        <v>360</v>
      </c>
      <c r="D2290" s="1">
        <v>10</v>
      </c>
    </row>
    <row r="2291" spans="1:4" x14ac:dyDescent="0.25">
      <c r="A2291" s="1">
        <f t="shared" si="40"/>
        <v>0</v>
      </c>
      <c r="B2291" s="1" t="s">
        <v>16</v>
      </c>
      <c r="C2291" s="1">
        <v>35.200000000000003</v>
      </c>
      <c r="D2291" s="1">
        <v>1</v>
      </c>
    </row>
    <row r="2292" spans="1:4" x14ac:dyDescent="0.25">
      <c r="A2292" s="1">
        <f t="shared" si="40"/>
        <v>0</v>
      </c>
      <c r="B2292" s="1" t="s">
        <v>19</v>
      </c>
      <c r="C2292" s="1">
        <v>28.75</v>
      </c>
      <c r="D2292" s="1">
        <v>1</v>
      </c>
    </row>
    <row r="2293" spans="1:4" x14ac:dyDescent="0.25">
      <c r="A2293" s="1">
        <f t="shared" si="40"/>
        <v>0</v>
      </c>
      <c r="B2293" s="1" t="s">
        <v>40</v>
      </c>
      <c r="C2293" s="1">
        <v>54.8</v>
      </c>
      <c r="D2293" s="1">
        <v>1</v>
      </c>
    </row>
    <row r="2294" spans="1:4" x14ac:dyDescent="0.25">
      <c r="A2294" s="1">
        <f t="shared" si="40"/>
        <v>0</v>
      </c>
      <c r="B2294" s="1" t="s">
        <v>7</v>
      </c>
      <c r="C2294" s="1">
        <v>164.4</v>
      </c>
      <c r="D2294" s="1">
        <v>5</v>
      </c>
    </row>
    <row r="2295" spans="1:4" x14ac:dyDescent="0.25">
      <c r="A2295" s="1">
        <f t="shared" si="40"/>
        <v>0</v>
      </c>
      <c r="B2295" s="1" t="s">
        <v>41</v>
      </c>
      <c r="C2295" s="1">
        <v>28.75</v>
      </c>
      <c r="D2295" s="1">
        <v>1</v>
      </c>
    </row>
    <row r="2296" spans="1:4" x14ac:dyDescent="0.25">
      <c r="A2296" s="1">
        <f t="shared" si="40"/>
        <v>0</v>
      </c>
      <c r="B2296" s="1" t="s">
        <v>17</v>
      </c>
      <c r="C2296" s="1">
        <v>38.4</v>
      </c>
      <c r="D2296" s="1">
        <v>1</v>
      </c>
    </row>
    <row r="2297" spans="1:4" x14ac:dyDescent="0.25">
      <c r="A2297" s="1">
        <f t="shared" si="40"/>
        <v>0</v>
      </c>
      <c r="B2297" s="1" t="s">
        <v>21</v>
      </c>
      <c r="C2297" s="1">
        <v>54.8</v>
      </c>
      <c r="D2297" s="1">
        <v>1</v>
      </c>
    </row>
    <row r="2298" spans="1:4" x14ac:dyDescent="0.25">
      <c r="A2298" s="1">
        <f t="shared" si="40"/>
        <v>0</v>
      </c>
      <c r="B2298" s="1" t="s">
        <v>30</v>
      </c>
      <c r="C2298" s="1">
        <v>15.99</v>
      </c>
      <c r="D2298" s="1">
        <v>1</v>
      </c>
    </row>
    <row r="2299" spans="1:4" x14ac:dyDescent="0.25">
      <c r="A2299" s="1">
        <f t="shared" si="40"/>
        <v>0</v>
      </c>
      <c r="B2299" s="1" t="s">
        <v>62</v>
      </c>
      <c r="C2299" s="1">
        <v>38.4</v>
      </c>
      <c r="D2299" s="1">
        <v>1</v>
      </c>
    </row>
    <row r="2300" spans="1:4" x14ac:dyDescent="0.25">
      <c r="A2300" s="1">
        <f t="shared" si="40"/>
        <v>0</v>
      </c>
      <c r="B2300" s="1" t="s">
        <v>27</v>
      </c>
      <c r="C2300" s="1">
        <v>38.4</v>
      </c>
      <c r="D2300" s="1">
        <v>1</v>
      </c>
    </row>
    <row r="2301" spans="1:4" x14ac:dyDescent="0.25">
      <c r="A2301" s="1">
        <f t="shared" si="40"/>
        <v>2301</v>
      </c>
      <c r="B2301" s="1" t="s">
        <v>164</v>
      </c>
    </row>
    <row r="2302" spans="1:4" x14ac:dyDescent="0.25">
      <c r="A2302" s="1">
        <f t="shared" si="40"/>
        <v>0</v>
      </c>
      <c r="B2302" s="1" t="s">
        <v>1</v>
      </c>
      <c r="C2302" s="1">
        <v>23</v>
      </c>
    </row>
    <row r="2303" spans="1:4" x14ac:dyDescent="0.25">
      <c r="A2303" s="1">
        <f t="shared" si="40"/>
        <v>0</v>
      </c>
      <c r="B2303" s="1" t="s">
        <v>2</v>
      </c>
      <c r="C2303" s="1">
        <v>1076.9000000000001</v>
      </c>
    </row>
    <row r="2304" spans="1:4" x14ac:dyDescent="0.25">
      <c r="A2304" s="1">
        <f t="shared" si="40"/>
        <v>0</v>
      </c>
      <c r="B2304" s="1" t="s">
        <v>3</v>
      </c>
      <c r="C2304" s="1" t="s">
        <v>4</v>
      </c>
      <c r="D2304" s="1" t="s">
        <v>5</v>
      </c>
    </row>
    <row r="2305" spans="1:4" x14ac:dyDescent="0.25">
      <c r="A2305" s="1">
        <f t="shared" si="40"/>
        <v>0</v>
      </c>
      <c r="B2305" s="1" t="s">
        <v>18</v>
      </c>
      <c r="C2305" s="1">
        <v>38.4</v>
      </c>
      <c r="D2305" s="1">
        <v>1</v>
      </c>
    </row>
    <row r="2306" spans="1:4" x14ac:dyDescent="0.25">
      <c r="A2306" s="1">
        <f t="shared" ref="A2306:A2369" si="41">IF(COUNTIF($V$3:$Y$99, $B2306)&lt;&gt;0, ROW($B2306), 0)</f>
        <v>0</v>
      </c>
      <c r="B2306" s="1" t="s">
        <v>52</v>
      </c>
      <c r="C2306" s="1">
        <v>256</v>
      </c>
      <c r="D2306" s="1">
        <v>5</v>
      </c>
    </row>
    <row r="2307" spans="1:4" x14ac:dyDescent="0.25">
      <c r="A2307" s="1">
        <f t="shared" si="41"/>
        <v>0</v>
      </c>
      <c r="B2307" s="1" t="s">
        <v>20</v>
      </c>
      <c r="C2307" s="1">
        <v>115.2</v>
      </c>
      <c r="D2307" s="1">
        <v>3</v>
      </c>
    </row>
    <row r="2308" spans="1:4" x14ac:dyDescent="0.25">
      <c r="A2308" s="1">
        <f t="shared" si="41"/>
        <v>0</v>
      </c>
      <c r="B2308" s="1" t="s">
        <v>8</v>
      </c>
      <c r="C2308" s="1">
        <v>383.6</v>
      </c>
      <c r="D2308" s="1">
        <v>7</v>
      </c>
    </row>
    <row r="2309" spans="1:4" x14ac:dyDescent="0.25">
      <c r="A2309" s="1">
        <f t="shared" si="41"/>
        <v>0</v>
      </c>
      <c r="B2309" s="1" t="s">
        <v>21</v>
      </c>
      <c r="C2309" s="1">
        <v>54.8</v>
      </c>
      <c r="D2309" s="1">
        <v>1</v>
      </c>
    </row>
    <row r="2310" spans="1:4" x14ac:dyDescent="0.25">
      <c r="A2310" s="1">
        <f t="shared" si="41"/>
        <v>0</v>
      </c>
      <c r="B2310" s="1" t="s">
        <v>50</v>
      </c>
      <c r="C2310" s="1">
        <v>42.5</v>
      </c>
      <c r="D2310" s="1">
        <v>1</v>
      </c>
    </row>
    <row r="2311" spans="1:4" x14ac:dyDescent="0.25">
      <c r="A2311" s="1">
        <f t="shared" si="41"/>
        <v>0</v>
      </c>
      <c r="B2311" s="1" t="s">
        <v>56</v>
      </c>
      <c r="C2311" s="1">
        <v>38.4</v>
      </c>
      <c r="D2311" s="1">
        <v>1</v>
      </c>
    </row>
    <row r="2312" spans="1:4" x14ac:dyDescent="0.25">
      <c r="A2312" s="1">
        <f t="shared" si="41"/>
        <v>0</v>
      </c>
      <c r="B2312" s="1" t="s">
        <v>7</v>
      </c>
      <c r="C2312" s="1">
        <v>109.6</v>
      </c>
      <c r="D2312" s="1">
        <v>2</v>
      </c>
    </row>
    <row r="2313" spans="1:4" x14ac:dyDescent="0.25">
      <c r="A2313" s="1">
        <f t="shared" si="41"/>
        <v>0</v>
      </c>
      <c r="B2313" s="1" t="s">
        <v>54</v>
      </c>
      <c r="C2313" s="1">
        <v>38.4</v>
      </c>
      <c r="D2313" s="1">
        <v>2</v>
      </c>
    </row>
    <row r="2314" spans="1:4" x14ac:dyDescent="0.25">
      <c r="A2314" s="1">
        <f t="shared" si="41"/>
        <v>2314</v>
      </c>
      <c r="B2314" s="1" t="s">
        <v>165</v>
      </c>
    </row>
    <row r="2315" spans="1:4" x14ac:dyDescent="0.25">
      <c r="A2315" s="1">
        <f t="shared" si="41"/>
        <v>0</v>
      </c>
      <c r="B2315" s="1" t="s">
        <v>1</v>
      </c>
      <c r="C2315" s="1">
        <v>30</v>
      </c>
    </row>
    <row r="2316" spans="1:4" x14ac:dyDescent="0.25">
      <c r="A2316" s="1">
        <f t="shared" si="41"/>
        <v>0</v>
      </c>
      <c r="B2316" s="1" t="s">
        <v>2</v>
      </c>
      <c r="C2316" s="1">
        <v>1239.5999999999999</v>
      </c>
    </row>
    <row r="2317" spans="1:4" x14ac:dyDescent="0.25">
      <c r="A2317" s="1">
        <f t="shared" si="41"/>
        <v>0</v>
      </c>
      <c r="B2317" s="1" t="s">
        <v>3</v>
      </c>
      <c r="C2317" s="1" t="s">
        <v>4</v>
      </c>
      <c r="D2317" s="1" t="s">
        <v>5</v>
      </c>
    </row>
    <row r="2318" spans="1:4" x14ac:dyDescent="0.25">
      <c r="A2318" s="1">
        <f t="shared" si="41"/>
        <v>0</v>
      </c>
      <c r="B2318" s="1" t="s">
        <v>18</v>
      </c>
      <c r="C2318" s="1">
        <v>38.4</v>
      </c>
      <c r="D2318" s="1">
        <v>1</v>
      </c>
    </row>
    <row r="2319" spans="1:4" x14ac:dyDescent="0.25">
      <c r="A2319" s="1">
        <f t="shared" si="41"/>
        <v>0</v>
      </c>
      <c r="B2319" s="1" t="s">
        <v>21</v>
      </c>
      <c r="C2319" s="1">
        <v>54.8</v>
      </c>
      <c r="D2319" s="1">
        <v>1</v>
      </c>
    </row>
    <row r="2320" spans="1:4" x14ac:dyDescent="0.25">
      <c r="A2320" s="1">
        <f t="shared" si="41"/>
        <v>0</v>
      </c>
      <c r="B2320" s="1" t="s">
        <v>20</v>
      </c>
      <c r="C2320" s="1">
        <v>153.6</v>
      </c>
      <c r="D2320" s="1">
        <v>6</v>
      </c>
    </row>
    <row r="2321" spans="1:4" x14ac:dyDescent="0.25">
      <c r="A2321" s="1">
        <f t="shared" si="41"/>
        <v>0</v>
      </c>
      <c r="B2321" s="1" t="s">
        <v>17</v>
      </c>
      <c r="C2321" s="1">
        <v>307.2</v>
      </c>
      <c r="D2321" s="1">
        <v>9</v>
      </c>
    </row>
    <row r="2322" spans="1:4" x14ac:dyDescent="0.25">
      <c r="A2322" s="1">
        <f t="shared" si="41"/>
        <v>0</v>
      </c>
      <c r="B2322" s="1" t="s">
        <v>40</v>
      </c>
      <c r="C2322" s="1">
        <v>54.8</v>
      </c>
      <c r="D2322" s="1">
        <v>1</v>
      </c>
    </row>
    <row r="2323" spans="1:4" x14ac:dyDescent="0.25">
      <c r="A2323" s="1">
        <f t="shared" si="41"/>
        <v>0</v>
      </c>
      <c r="B2323" s="1" t="s">
        <v>8</v>
      </c>
      <c r="C2323" s="1">
        <v>219.2</v>
      </c>
      <c r="D2323" s="1">
        <v>4</v>
      </c>
    </row>
    <row r="2324" spans="1:4" x14ac:dyDescent="0.25">
      <c r="A2324" s="1">
        <f t="shared" si="41"/>
        <v>0</v>
      </c>
      <c r="B2324" s="1" t="s">
        <v>7</v>
      </c>
      <c r="C2324" s="1">
        <v>274</v>
      </c>
      <c r="D2324" s="1">
        <v>5</v>
      </c>
    </row>
    <row r="2325" spans="1:4" x14ac:dyDescent="0.25">
      <c r="A2325" s="1">
        <f t="shared" si="41"/>
        <v>0</v>
      </c>
      <c r="B2325" s="1" t="s">
        <v>16</v>
      </c>
      <c r="C2325" s="1">
        <v>35.200000000000003</v>
      </c>
      <c r="D2325" s="1">
        <v>1</v>
      </c>
    </row>
    <row r="2326" spans="1:4" x14ac:dyDescent="0.25">
      <c r="A2326" s="1">
        <f t="shared" si="41"/>
        <v>0</v>
      </c>
      <c r="B2326" s="1" t="s">
        <v>54</v>
      </c>
      <c r="C2326" s="1">
        <v>38.4</v>
      </c>
      <c r="D2326" s="1">
        <v>1</v>
      </c>
    </row>
    <row r="2327" spans="1:4" x14ac:dyDescent="0.25">
      <c r="A2327" s="1">
        <f t="shared" si="41"/>
        <v>0</v>
      </c>
      <c r="B2327" s="1" t="s">
        <v>52</v>
      </c>
      <c r="C2327" s="1">
        <v>64</v>
      </c>
      <c r="D2327" s="1">
        <v>1</v>
      </c>
    </row>
    <row r="2328" spans="1:4" x14ac:dyDescent="0.25">
      <c r="A2328" s="1">
        <f t="shared" si="41"/>
        <v>2328</v>
      </c>
      <c r="B2328" s="1" t="s">
        <v>166</v>
      </c>
    </row>
    <row r="2329" spans="1:4" x14ac:dyDescent="0.25">
      <c r="A2329" s="1">
        <f t="shared" si="41"/>
        <v>0</v>
      </c>
      <c r="B2329" s="1" t="s">
        <v>1</v>
      </c>
      <c r="C2329" s="1">
        <v>19</v>
      </c>
    </row>
    <row r="2330" spans="1:4" x14ac:dyDescent="0.25">
      <c r="A2330" s="1">
        <f t="shared" si="41"/>
        <v>0</v>
      </c>
      <c r="B2330" s="1" t="s">
        <v>2</v>
      </c>
      <c r="C2330" s="1">
        <v>892.4</v>
      </c>
    </row>
    <row r="2331" spans="1:4" x14ac:dyDescent="0.25">
      <c r="A2331" s="1">
        <f t="shared" si="41"/>
        <v>0</v>
      </c>
      <c r="B2331" s="1" t="s">
        <v>3</v>
      </c>
      <c r="C2331" s="1" t="s">
        <v>4</v>
      </c>
      <c r="D2331" s="1" t="s">
        <v>5</v>
      </c>
    </row>
    <row r="2332" spans="1:4" x14ac:dyDescent="0.25">
      <c r="A2332" s="1">
        <f t="shared" si="41"/>
        <v>0</v>
      </c>
      <c r="B2332" s="1" t="s">
        <v>12</v>
      </c>
      <c r="C2332" s="1">
        <v>70</v>
      </c>
      <c r="D2332" s="1">
        <v>2</v>
      </c>
    </row>
    <row r="2333" spans="1:4" x14ac:dyDescent="0.25">
      <c r="A2333" s="1">
        <f t="shared" si="41"/>
        <v>0</v>
      </c>
      <c r="B2333" s="1" t="s">
        <v>57</v>
      </c>
      <c r="C2333" s="1">
        <v>40</v>
      </c>
      <c r="D2333" s="1">
        <v>1</v>
      </c>
    </row>
    <row r="2334" spans="1:4" x14ac:dyDescent="0.25">
      <c r="A2334" s="1">
        <f t="shared" si="41"/>
        <v>0</v>
      </c>
      <c r="B2334" s="1" t="s">
        <v>18</v>
      </c>
      <c r="C2334" s="1">
        <v>38.4</v>
      </c>
      <c r="D2334" s="1">
        <v>1</v>
      </c>
    </row>
    <row r="2335" spans="1:4" x14ac:dyDescent="0.25">
      <c r="A2335" s="1">
        <f t="shared" si="41"/>
        <v>0</v>
      </c>
      <c r="B2335" s="1" t="s">
        <v>40</v>
      </c>
      <c r="C2335" s="1">
        <v>164.4</v>
      </c>
      <c r="D2335" s="1">
        <v>3</v>
      </c>
    </row>
    <row r="2336" spans="1:4" x14ac:dyDescent="0.25">
      <c r="A2336" s="1">
        <f t="shared" si="41"/>
        <v>0</v>
      </c>
      <c r="B2336" s="1" t="s">
        <v>49</v>
      </c>
      <c r="C2336" s="1">
        <v>120</v>
      </c>
      <c r="D2336" s="1">
        <v>3</v>
      </c>
    </row>
    <row r="2337" spans="1:4" x14ac:dyDescent="0.25">
      <c r="A2337" s="1">
        <f t="shared" si="41"/>
        <v>0</v>
      </c>
      <c r="B2337" s="1" t="s">
        <v>52</v>
      </c>
      <c r="C2337" s="1">
        <v>128</v>
      </c>
      <c r="D2337" s="1">
        <v>2</v>
      </c>
    </row>
    <row r="2338" spans="1:4" x14ac:dyDescent="0.25">
      <c r="A2338" s="1">
        <f t="shared" si="41"/>
        <v>0</v>
      </c>
      <c r="B2338" s="1" t="s">
        <v>17</v>
      </c>
      <c r="C2338" s="1">
        <v>38.4</v>
      </c>
      <c r="D2338" s="1">
        <v>1</v>
      </c>
    </row>
    <row r="2339" spans="1:4" x14ac:dyDescent="0.25">
      <c r="A2339" s="1">
        <f t="shared" si="41"/>
        <v>0</v>
      </c>
      <c r="B2339" s="1" t="s">
        <v>8</v>
      </c>
      <c r="C2339" s="1">
        <v>164.4</v>
      </c>
      <c r="D2339" s="1">
        <v>4</v>
      </c>
    </row>
    <row r="2340" spans="1:4" x14ac:dyDescent="0.25">
      <c r="A2340" s="1">
        <f t="shared" si="41"/>
        <v>0</v>
      </c>
      <c r="B2340" s="1" t="s">
        <v>74</v>
      </c>
      <c r="C2340" s="1">
        <v>74</v>
      </c>
      <c r="D2340" s="1">
        <v>1</v>
      </c>
    </row>
    <row r="2341" spans="1:4" x14ac:dyDescent="0.25">
      <c r="A2341" s="1">
        <f t="shared" si="41"/>
        <v>0</v>
      </c>
      <c r="B2341" s="1" t="s">
        <v>22</v>
      </c>
      <c r="C2341" s="1">
        <v>54.8</v>
      </c>
      <c r="D2341" s="1">
        <v>1</v>
      </c>
    </row>
    <row r="2342" spans="1:4" x14ac:dyDescent="0.25">
      <c r="A2342" s="1">
        <f t="shared" si="41"/>
        <v>2342</v>
      </c>
      <c r="B2342" s="1" t="s">
        <v>167</v>
      </c>
    </row>
    <row r="2343" spans="1:4" x14ac:dyDescent="0.25">
      <c r="A2343" s="1">
        <f t="shared" si="41"/>
        <v>0</v>
      </c>
      <c r="B2343" s="1" t="s">
        <v>1</v>
      </c>
      <c r="C2343" s="1">
        <v>34</v>
      </c>
    </row>
    <row r="2344" spans="1:4" x14ac:dyDescent="0.25">
      <c r="A2344" s="1">
        <f t="shared" si="41"/>
        <v>0</v>
      </c>
      <c r="B2344" s="1" t="s">
        <v>2</v>
      </c>
      <c r="C2344" s="1">
        <v>1613.3</v>
      </c>
    </row>
    <row r="2345" spans="1:4" x14ac:dyDescent="0.25">
      <c r="A2345" s="1">
        <f t="shared" si="41"/>
        <v>0</v>
      </c>
      <c r="B2345" s="1" t="s">
        <v>3</v>
      </c>
      <c r="C2345" s="1" t="s">
        <v>4</v>
      </c>
      <c r="D2345" s="1" t="s">
        <v>5</v>
      </c>
    </row>
    <row r="2346" spans="1:4" x14ac:dyDescent="0.25">
      <c r="A2346" s="1">
        <f t="shared" si="41"/>
        <v>0</v>
      </c>
      <c r="B2346" s="1" t="s">
        <v>17</v>
      </c>
      <c r="C2346" s="1">
        <v>38.4</v>
      </c>
      <c r="D2346" s="1">
        <v>1</v>
      </c>
    </row>
    <row r="2347" spans="1:4" x14ac:dyDescent="0.25">
      <c r="A2347" s="1">
        <f t="shared" si="41"/>
        <v>0</v>
      </c>
      <c r="B2347" s="1" t="s">
        <v>8</v>
      </c>
      <c r="C2347" s="1">
        <v>219.2</v>
      </c>
      <c r="D2347" s="1">
        <v>4</v>
      </c>
    </row>
    <row r="2348" spans="1:4" x14ac:dyDescent="0.25">
      <c r="A2348" s="1">
        <f t="shared" si="41"/>
        <v>0</v>
      </c>
      <c r="B2348" s="1" t="s">
        <v>19</v>
      </c>
      <c r="C2348" s="1">
        <v>28.75</v>
      </c>
      <c r="D2348" s="1">
        <v>1</v>
      </c>
    </row>
    <row r="2349" spans="1:4" x14ac:dyDescent="0.25">
      <c r="A2349" s="1">
        <f t="shared" si="41"/>
        <v>0</v>
      </c>
      <c r="B2349" s="1" t="s">
        <v>21</v>
      </c>
      <c r="C2349" s="1">
        <v>164.4</v>
      </c>
      <c r="D2349" s="1">
        <v>3</v>
      </c>
    </row>
    <row r="2350" spans="1:4" x14ac:dyDescent="0.25">
      <c r="A2350" s="1">
        <f t="shared" si="41"/>
        <v>0</v>
      </c>
      <c r="B2350" s="1" t="s">
        <v>18</v>
      </c>
      <c r="C2350" s="1">
        <v>38.4</v>
      </c>
      <c r="D2350" s="1">
        <v>1</v>
      </c>
    </row>
    <row r="2351" spans="1:4" x14ac:dyDescent="0.25">
      <c r="A2351" s="1">
        <f t="shared" si="41"/>
        <v>0</v>
      </c>
      <c r="B2351" s="1" t="s">
        <v>20</v>
      </c>
      <c r="C2351" s="1">
        <v>115.2</v>
      </c>
      <c r="D2351" s="1">
        <v>3</v>
      </c>
    </row>
    <row r="2352" spans="1:4" x14ac:dyDescent="0.25">
      <c r="A2352" s="1">
        <f t="shared" si="41"/>
        <v>0</v>
      </c>
      <c r="B2352" s="1" t="s">
        <v>15</v>
      </c>
      <c r="C2352" s="1">
        <v>408</v>
      </c>
      <c r="D2352" s="1">
        <v>6</v>
      </c>
    </row>
    <row r="2353" spans="1:4" x14ac:dyDescent="0.25">
      <c r="A2353" s="1">
        <f t="shared" si="41"/>
        <v>0</v>
      </c>
      <c r="B2353" s="1" t="s">
        <v>16</v>
      </c>
      <c r="C2353" s="1">
        <v>211.2</v>
      </c>
      <c r="D2353" s="1">
        <v>6</v>
      </c>
    </row>
    <row r="2354" spans="1:4" x14ac:dyDescent="0.25">
      <c r="A2354" s="1">
        <f t="shared" si="41"/>
        <v>0</v>
      </c>
      <c r="B2354" s="1" t="s">
        <v>12</v>
      </c>
      <c r="C2354" s="1">
        <v>35</v>
      </c>
      <c r="D2354" s="1">
        <v>1</v>
      </c>
    </row>
    <row r="2355" spans="1:4" x14ac:dyDescent="0.25">
      <c r="A2355" s="1">
        <f t="shared" si="41"/>
        <v>0</v>
      </c>
      <c r="B2355" s="1" t="s">
        <v>49</v>
      </c>
      <c r="C2355" s="1">
        <v>80</v>
      </c>
      <c r="D2355" s="1">
        <v>2</v>
      </c>
    </row>
    <row r="2356" spans="1:4" x14ac:dyDescent="0.25">
      <c r="A2356" s="1">
        <f t="shared" si="41"/>
        <v>0</v>
      </c>
      <c r="B2356" s="1" t="s">
        <v>65</v>
      </c>
      <c r="C2356" s="1">
        <v>49.95</v>
      </c>
      <c r="D2356" s="1">
        <v>1</v>
      </c>
    </row>
    <row r="2357" spans="1:4" x14ac:dyDescent="0.25">
      <c r="A2357" s="1">
        <f t="shared" si="41"/>
        <v>0</v>
      </c>
      <c r="B2357" s="1" t="s">
        <v>13</v>
      </c>
      <c r="C2357" s="1">
        <v>38.4</v>
      </c>
      <c r="D2357" s="1">
        <v>1</v>
      </c>
    </row>
    <row r="2358" spans="1:4" x14ac:dyDescent="0.25">
      <c r="A2358" s="1">
        <f t="shared" si="41"/>
        <v>0</v>
      </c>
      <c r="B2358" s="1" t="s">
        <v>37</v>
      </c>
      <c r="C2358" s="1">
        <v>54.8</v>
      </c>
      <c r="D2358" s="1">
        <v>1</v>
      </c>
    </row>
    <row r="2359" spans="1:4" x14ac:dyDescent="0.25">
      <c r="A2359" s="1">
        <f t="shared" si="41"/>
        <v>0</v>
      </c>
      <c r="B2359" s="1" t="s">
        <v>56</v>
      </c>
      <c r="C2359" s="1">
        <v>38.4</v>
      </c>
      <c r="D2359" s="1">
        <v>1</v>
      </c>
    </row>
    <row r="2360" spans="1:4" x14ac:dyDescent="0.25">
      <c r="A2360" s="1">
        <f t="shared" si="41"/>
        <v>0</v>
      </c>
      <c r="B2360" s="1" t="s">
        <v>40</v>
      </c>
      <c r="C2360" s="1">
        <v>54.8</v>
      </c>
      <c r="D2360" s="1">
        <v>1</v>
      </c>
    </row>
    <row r="2361" spans="1:4" x14ac:dyDescent="0.25">
      <c r="A2361" s="1">
        <f t="shared" si="41"/>
        <v>0</v>
      </c>
      <c r="B2361" s="1" t="s">
        <v>62</v>
      </c>
      <c r="C2361" s="1">
        <v>38.4</v>
      </c>
      <c r="D2361" s="1">
        <v>1</v>
      </c>
    </row>
    <row r="2362" spans="1:4" x14ac:dyDescent="0.25">
      <c r="A2362" s="1">
        <f t="shared" si="41"/>
        <v>2362</v>
      </c>
      <c r="B2362" s="1" t="s">
        <v>168</v>
      </c>
    </row>
    <row r="2363" spans="1:4" x14ac:dyDescent="0.25">
      <c r="A2363" s="1">
        <f t="shared" si="41"/>
        <v>0</v>
      </c>
      <c r="B2363" s="1" t="s">
        <v>1</v>
      </c>
      <c r="C2363" s="1">
        <v>60</v>
      </c>
    </row>
    <row r="2364" spans="1:4" x14ac:dyDescent="0.25">
      <c r="A2364" s="1">
        <f t="shared" si="41"/>
        <v>0</v>
      </c>
      <c r="B2364" s="1" t="s">
        <v>2</v>
      </c>
      <c r="C2364" s="1">
        <v>2567.3000000000002</v>
      </c>
    </row>
    <row r="2365" spans="1:4" x14ac:dyDescent="0.25">
      <c r="A2365" s="1">
        <f t="shared" si="41"/>
        <v>0</v>
      </c>
      <c r="B2365" s="1" t="s">
        <v>3</v>
      </c>
      <c r="C2365" s="1" t="s">
        <v>4</v>
      </c>
      <c r="D2365" s="1" t="s">
        <v>5</v>
      </c>
    </row>
    <row r="2366" spans="1:4" x14ac:dyDescent="0.25">
      <c r="A2366" s="1">
        <f t="shared" si="41"/>
        <v>0</v>
      </c>
      <c r="B2366" s="1" t="s">
        <v>20</v>
      </c>
      <c r="C2366" s="1">
        <v>499.2</v>
      </c>
      <c r="D2366" s="1">
        <v>13</v>
      </c>
    </row>
    <row r="2367" spans="1:4" x14ac:dyDescent="0.25">
      <c r="A2367" s="1">
        <f t="shared" si="41"/>
        <v>0</v>
      </c>
      <c r="B2367" s="1" t="s">
        <v>11</v>
      </c>
      <c r="C2367" s="1">
        <v>40</v>
      </c>
      <c r="D2367" s="1">
        <v>1</v>
      </c>
    </row>
    <row r="2368" spans="1:4" x14ac:dyDescent="0.25">
      <c r="A2368" s="1">
        <f t="shared" si="41"/>
        <v>0</v>
      </c>
      <c r="B2368" s="1" t="s">
        <v>18</v>
      </c>
      <c r="C2368" s="1">
        <v>230.4</v>
      </c>
      <c r="D2368" s="1">
        <v>6</v>
      </c>
    </row>
    <row r="2369" spans="1:4" x14ac:dyDescent="0.25">
      <c r="A2369" s="1">
        <f t="shared" si="41"/>
        <v>0</v>
      </c>
      <c r="B2369" s="1" t="s">
        <v>8</v>
      </c>
      <c r="C2369" s="1">
        <v>328.8</v>
      </c>
      <c r="D2369" s="1">
        <v>7</v>
      </c>
    </row>
    <row r="2370" spans="1:4" x14ac:dyDescent="0.25">
      <c r="A2370" s="1">
        <f t="shared" ref="A2370:A2433" si="42">IF(COUNTIF($V$3:$Y$99, $B2370)&lt;&gt;0, ROW($B2370), 0)</f>
        <v>0</v>
      </c>
      <c r="B2370" s="1" t="s">
        <v>14</v>
      </c>
      <c r="C2370" s="1">
        <v>57.5</v>
      </c>
      <c r="D2370" s="1">
        <v>2</v>
      </c>
    </row>
    <row r="2371" spans="1:4" x14ac:dyDescent="0.25">
      <c r="A2371" s="1">
        <f t="shared" si="42"/>
        <v>0</v>
      </c>
      <c r="B2371" s="1" t="s">
        <v>21</v>
      </c>
      <c r="C2371" s="1">
        <v>54.8</v>
      </c>
      <c r="D2371" s="1">
        <v>1</v>
      </c>
    </row>
    <row r="2372" spans="1:4" x14ac:dyDescent="0.25">
      <c r="A2372" s="1">
        <f t="shared" si="42"/>
        <v>0</v>
      </c>
      <c r="B2372" s="1" t="s">
        <v>15</v>
      </c>
      <c r="C2372" s="1">
        <v>340</v>
      </c>
      <c r="D2372" s="1">
        <v>6</v>
      </c>
    </row>
    <row r="2373" spans="1:4" x14ac:dyDescent="0.25">
      <c r="A2373" s="1">
        <f t="shared" si="42"/>
        <v>0</v>
      </c>
      <c r="B2373" s="1" t="s">
        <v>22</v>
      </c>
      <c r="C2373" s="1">
        <v>109.6</v>
      </c>
      <c r="D2373" s="1">
        <v>2</v>
      </c>
    </row>
    <row r="2374" spans="1:4" x14ac:dyDescent="0.25">
      <c r="A2374" s="1">
        <f t="shared" si="42"/>
        <v>0</v>
      </c>
      <c r="B2374" s="1" t="s">
        <v>17</v>
      </c>
      <c r="C2374" s="1">
        <v>76.8</v>
      </c>
      <c r="D2374" s="1">
        <v>2</v>
      </c>
    </row>
    <row r="2375" spans="1:4" x14ac:dyDescent="0.25">
      <c r="A2375" s="1">
        <f t="shared" si="42"/>
        <v>0</v>
      </c>
      <c r="B2375" s="1" t="s">
        <v>49</v>
      </c>
      <c r="C2375" s="1">
        <v>120</v>
      </c>
      <c r="D2375" s="1">
        <v>3</v>
      </c>
    </row>
    <row r="2376" spans="1:4" x14ac:dyDescent="0.25">
      <c r="A2376" s="1">
        <f t="shared" si="42"/>
        <v>0</v>
      </c>
      <c r="B2376" s="1" t="s">
        <v>12</v>
      </c>
      <c r="C2376" s="1">
        <v>175</v>
      </c>
      <c r="D2376" s="1">
        <v>5</v>
      </c>
    </row>
    <row r="2377" spans="1:4" x14ac:dyDescent="0.25">
      <c r="A2377" s="1">
        <f t="shared" si="42"/>
        <v>0</v>
      </c>
      <c r="B2377" s="1" t="s">
        <v>16</v>
      </c>
      <c r="C2377" s="1">
        <v>140.80000000000001</v>
      </c>
      <c r="D2377" s="1">
        <v>4</v>
      </c>
    </row>
    <row r="2378" spans="1:4" x14ac:dyDescent="0.25">
      <c r="A2378" s="1">
        <f t="shared" si="42"/>
        <v>0</v>
      </c>
      <c r="B2378" s="1" t="s">
        <v>52</v>
      </c>
      <c r="C2378" s="1">
        <v>64</v>
      </c>
      <c r="D2378" s="1">
        <v>1</v>
      </c>
    </row>
    <row r="2379" spans="1:4" x14ac:dyDescent="0.25">
      <c r="A2379" s="1">
        <f t="shared" si="42"/>
        <v>0</v>
      </c>
      <c r="B2379" s="1" t="s">
        <v>40</v>
      </c>
      <c r="C2379" s="1">
        <v>109.6</v>
      </c>
      <c r="D2379" s="1">
        <v>2</v>
      </c>
    </row>
    <row r="2380" spans="1:4" x14ac:dyDescent="0.25">
      <c r="A2380" s="1">
        <f t="shared" si="42"/>
        <v>0</v>
      </c>
      <c r="B2380" s="1" t="s">
        <v>13</v>
      </c>
      <c r="C2380" s="1">
        <v>38.4</v>
      </c>
      <c r="D2380" s="1">
        <v>1</v>
      </c>
    </row>
    <row r="2381" spans="1:4" x14ac:dyDescent="0.25">
      <c r="A2381" s="1">
        <f t="shared" si="42"/>
        <v>0</v>
      </c>
      <c r="B2381" s="1" t="s">
        <v>35</v>
      </c>
      <c r="C2381" s="1">
        <v>38.4</v>
      </c>
      <c r="D2381" s="1">
        <v>1</v>
      </c>
    </row>
    <row r="2382" spans="1:4" x14ac:dyDescent="0.25">
      <c r="A2382" s="1">
        <f t="shared" si="42"/>
        <v>0</v>
      </c>
      <c r="B2382" s="1" t="s">
        <v>69</v>
      </c>
      <c r="C2382" s="1">
        <v>64</v>
      </c>
      <c r="D2382" s="1">
        <v>1</v>
      </c>
    </row>
    <row r="2383" spans="1:4" x14ac:dyDescent="0.25">
      <c r="A2383" s="1">
        <f t="shared" si="42"/>
        <v>0</v>
      </c>
      <c r="B2383" s="1" t="s">
        <v>33</v>
      </c>
      <c r="C2383" s="1">
        <v>80</v>
      </c>
      <c r="D2383" s="1">
        <v>2</v>
      </c>
    </row>
    <row r="2384" spans="1:4" x14ac:dyDescent="0.25">
      <c r="A2384" s="1">
        <f t="shared" si="42"/>
        <v>2384</v>
      </c>
      <c r="B2384" s="1" t="s">
        <v>169</v>
      </c>
    </row>
    <row r="2385" spans="1:4" x14ac:dyDescent="0.25">
      <c r="A2385" s="1">
        <f t="shared" si="42"/>
        <v>0</v>
      </c>
      <c r="B2385" s="1" t="s">
        <v>1</v>
      </c>
      <c r="C2385" s="1">
        <v>46</v>
      </c>
    </row>
    <row r="2386" spans="1:4" x14ac:dyDescent="0.25">
      <c r="A2386" s="1">
        <f t="shared" si="42"/>
        <v>0</v>
      </c>
      <c r="B2386" s="1" t="s">
        <v>2</v>
      </c>
      <c r="C2386" s="1">
        <v>1642.14</v>
      </c>
    </row>
    <row r="2387" spans="1:4" x14ac:dyDescent="0.25">
      <c r="A2387" s="1">
        <f t="shared" si="42"/>
        <v>0</v>
      </c>
      <c r="B2387" s="1" t="s">
        <v>3</v>
      </c>
      <c r="C2387" s="1" t="s">
        <v>4</v>
      </c>
      <c r="D2387" s="1" t="s">
        <v>5</v>
      </c>
    </row>
    <row r="2388" spans="1:4" x14ac:dyDescent="0.25">
      <c r="A2388" s="1">
        <f t="shared" si="42"/>
        <v>0</v>
      </c>
      <c r="B2388" s="1" t="s">
        <v>21</v>
      </c>
      <c r="C2388" s="1">
        <v>109.6</v>
      </c>
      <c r="D2388" s="1">
        <v>2</v>
      </c>
    </row>
    <row r="2389" spans="1:4" x14ac:dyDescent="0.25">
      <c r="A2389" s="1">
        <f t="shared" si="42"/>
        <v>0</v>
      </c>
      <c r="B2389" s="1" t="s">
        <v>20</v>
      </c>
      <c r="C2389" s="1">
        <v>76.8</v>
      </c>
      <c r="D2389" s="1">
        <v>3</v>
      </c>
    </row>
    <row r="2390" spans="1:4" x14ac:dyDescent="0.25">
      <c r="A2390" s="1">
        <f t="shared" si="42"/>
        <v>0</v>
      </c>
      <c r="B2390" s="1" t="s">
        <v>13</v>
      </c>
      <c r="C2390" s="1">
        <v>38.4</v>
      </c>
      <c r="D2390" s="1">
        <v>1</v>
      </c>
    </row>
    <row r="2391" spans="1:4" x14ac:dyDescent="0.25">
      <c r="A2391" s="1">
        <f t="shared" si="42"/>
        <v>0</v>
      </c>
      <c r="B2391" s="1" t="s">
        <v>17</v>
      </c>
      <c r="C2391" s="1">
        <v>115.2</v>
      </c>
      <c r="D2391" s="1">
        <v>10</v>
      </c>
    </row>
    <row r="2392" spans="1:4" x14ac:dyDescent="0.25">
      <c r="A2392" s="1">
        <f t="shared" si="42"/>
        <v>0</v>
      </c>
      <c r="B2392" s="1" t="s">
        <v>40</v>
      </c>
      <c r="C2392" s="1">
        <v>274</v>
      </c>
      <c r="D2392" s="1">
        <v>5</v>
      </c>
    </row>
    <row r="2393" spans="1:4" x14ac:dyDescent="0.25">
      <c r="A2393" s="1">
        <f t="shared" si="42"/>
        <v>0</v>
      </c>
      <c r="B2393" s="1" t="s">
        <v>12</v>
      </c>
      <c r="C2393" s="1">
        <v>245</v>
      </c>
      <c r="D2393" s="1">
        <v>7</v>
      </c>
    </row>
    <row r="2394" spans="1:4" x14ac:dyDescent="0.25">
      <c r="A2394" s="1">
        <f t="shared" si="42"/>
        <v>0</v>
      </c>
      <c r="B2394" s="1" t="s">
        <v>8</v>
      </c>
      <c r="C2394" s="1">
        <v>164.4</v>
      </c>
      <c r="D2394" s="1">
        <v>3</v>
      </c>
    </row>
    <row r="2395" spans="1:4" x14ac:dyDescent="0.25">
      <c r="A2395" s="1">
        <f t="shared" si="42"/>
        <v>0</v>
      </c>
      <c r="B2395" s="1" t="s">
        <v>69</v>
      </c>
      <c r="C2395" s="1">
        <v>64</v>
      </c>
      <c r="D2395" s="1">
        <v>1</v>
      </c>
    </row>
    <row r="2396" spans="1:4" x14ac:dyDescent="0.25">
      <c r="A2396" s="1">
        <f t="shared" si="42"/>
        <v>0</v>
      </c>
      <c r="B2396" s="1" t="s">
        <v>15</v>
      </c>
      <c r="C2396" s="1">
        <v>68</v>
      </c>
      <c r="D2396" s="1">
        <v>1</v>
      </c>
    </row>
    <row r="2397" spans="1:4" x14ac:dyDescent="0.25">
      <c r="A2397" s="1">
        <f t="shared" si="42"/>
        <v>0</v>
      </c>
      <c r="B2397" s="1" t="s">
        <v>18</v>
      </c>
      <c r="C2397" s="1">
        <v>230.4</v>
      </c>
      <c r="D2397" s="1">
        <v>6</v>
      </c>
    </row>
    <row r="2398" spans="1:4" x14ac:dyDescent="0.25">
      <c r="A2398" s="1">
        <f t="shared" si="42"/>
        <v>0</v>
      </c>
      <c r="B2398" s="1" t="s">
        <v>22</v>
      </c>
      <c r="C2398" s="1">
        <v>54.8</v>
      </c>
      <c r="D2398" s="1">
        <v>1</v>
      </c>
    </row>
    <row r="2399" spans="1:4" x14ac:dyDescent="0.25">
      <c r="A2399" s="1">
        <f t="shared" si="42"/>
        <v>0</v>
      </c>
      <c r="B2399" s="1" t="s">
        <v>53</v>
      </c>
      <c r="C2399" s="1">
        <v>28.75</v>
      </c>
      <c r="D2399" s="1">
        <v>1</v>
      </c>
    </row>
    <row r="2400" spans="1:4" x14ac:dyDescent="0.25">
      <c r="A2400" s="1">
        <f t="shared" si="42"/>
        <v>0</v>
      </c>
      <c r="B2400" s="1" t="s">
        <v>36</v>
      </c>
      <c r="C2400" s="1">
        <v>38.4</v>
      </c>
      <c r="D2400" s="1">
        <v>1</v>
      </c>
    </row>
    <row r="2401" spans="1:4" x14ac:dyDescent="0.25">
      <c r="A2401" s="1">
        <f t="shared" si="42"/>
        <v>0</v>
      </c>
      <c r="B2401" s="1" t="s">
        <v>33</v>
      </c>
      <c r="C2401" s="1">
        <v>40</v>
      </c>
      <c r="D2401" s="1">
        <v>1</v>
      </c>
    </row>
    <row r="2402" spans="1:4" x14ac:dyDescent="0.25">
      <c r="A2402" s="1">
        <f t="shared" si="42"/>
        <v>0</v>
      </c>
      <c r="B2402" s="1" t="s">
        <v>30</v>
      </c>
      <c r="C2402" s="1">
        <v>15.99</v>
      </c>
      <c r="D2402" s="1">
        <v>1</v>
      </c>
    </row>
    <row r="2403" spans="1:4" x14ac:dyDescent="0.25">
      <c r="A2403" s="1">
        <f t="shared" si="42"/>
        <v>0</v>
      </c>
      <c r="B2403" s="1" t="s">
        <v>39</v>
      </c>
      <c r="C2403" s="1">
        <v>40</v>
      </c>
      <c r="D2403" s="1">
        <v>1</v>
      </c>
    </row>
    <row r="2404" spans="1:4" x14ac:dyDescent="0.25">
      <c r="A2404" s="1">
        <f t="shared" si="42"/>
        <v>0</v>
      </c>
      <c r="B2404" s="1" t="s">
        <v>27</v>
      </c>
      <c r="C2404" s="1">
        <v>38.4</v>
      </c>
      <c r="D2404" s="1">
        <v>1</v>
      </c>
    </row>
    <row r="2405" spans="1:4" x14ac:dyDescent="0.25">
      <c r="A2405" s="1">
        <f t="shared" si="42"/>
        <v>2405</v>
      </c>
      <c r="B2405" s="1" t="s">
        <v>170</v>
      </c>
    </row>
    <row r="2406" spans="1:4" x14ac:dyDescent="0.25">
      <c r="A2406" s="1">
        <f t="shared" si="42"/>
        <v>0</v>
      </c>
      <c r="B2406" s="1" t="s">
        <v>1</v>
      </c>
      <c r="C2406" s="1">
        <v>8</v>
      </c>
    </row>
    <row r="2407" spans="1:4" x14ac:dyDescent="0.25">
      <c r="A2407" s="1">
        <f t="shared" si="42"/>
        <v>0</v>
      </c>
      <c r="B2407" s="1" t="s">
        <v>2</v>
      </c>
      <c r="C2407" s="1">
        <v>281.8</v>
      </c>
    </row>
    <row r="2408" spans="1:4" x14ac:dyDescent="0.25">
      <c r="A2408" s="1">
        <f t="shared" si="42"/>
        <v>0</v>
      </c>
      <c r="B2408" s="1" t="s">
        <v>3</v>
      </c>
      <c r="C2408" s="1" t="s">
        <v>4</v>
      </c>
      <c r="D2408" s="1" t="s">
        <v>5</v>
      </c>
    </row>
    <row r="2409" spans="1:4" x14ac:dyDescent="0.25">
      <c r="A2409" s="1">
        <f t="shared" si="42"/>
        <v>0</v>
      </c>
      <c r="B2409" s="1" t="s">
        <v>17</v>
      </c>
      <c r="C2409" s="1">
        <v>76.8</v>
      </c>
      <c r="D2409" s="1">
        <v>2</v>
      </c>
    </row>
    <row r="2410" spans="1:4" x14ac:dyDescent="0.25">
      <c r="A2410" s="1">
        <f t="shared" si="42"/>
        <v>0</v>
      </c>
      <c r="B2410" s="1" t="s">
        <v>20</v>
      </c>
      <c r="C2410" s="1">
        <v>38.4</v>
      </c>
      <c r="D2410" s="1">
        <v>1</v>
      </c>
    </row>
    <row r="2411" spans="1:4" x14ac:dyDescent="0.25">
      <c r="A2411" s="1">
        <f t="shared" si="42"/>
        <v>0</v>
      </c>
      <c r="B2411" s="1" t="s">
        <v>8</v>
      </c>
      <c r="C2411" s="1">
        <v>54.8</v>
      </c>
      <c r="D2411" s="1">
        <v>2</v>
      </c>
    </row>
    <row r="2412" spans="1:4" x14ac:dyDescent="0.25">
      <c r="A2412" s="1">
        <f t="shared" si="42"/>
        <v>0</v>
      </c>
      <c r="B2412" s="1" t="s">
        <v>12</v>
      </c>
      <c r="C2412" s="1">
        <v>35</v>
      </c>
      <c r="D2412" s="1">
        <v>1</v>
      </c>
    </row>
    <row r="2413" spans="1:4" x14ac:dyDescent="0.25">
      <c r="A2413" s="1">
        <f t="shared" si="42"/>
        <v>0</v>
      </c>
      <c r="B2413" s="1" t="s">
        <v>18</v>
      </c>
      <c r="C2413" s="1">
        <v>38.4</v>
      </c>
      <c r="D2413" s="1">
        <v>1</v>
      </c>
    </row>
    <row r="2414" spans="1:4" x14ac:dyDescent="0.25">
      <c r="A2414" s="1">
        <f t="shared" si="42"/>
        <v>0</v>
      </c>
      <c r="B2414" s="1" t="s">
        <v>44</v>
      </c>
      <c r="C2414" s="1">
        <v>38.4</v>
      </c>
      <c r="D2414" s="1">
        <v>1</v>
      </c>
    </row>
    <row r="2415" spans="1:4" x14ac:dyDescent="0.25">
      <c r="A2415" s="1">
        <f t="shared" si="42"/>
        <v>2415</v>
      </c>
      <c r="B2415" s="1" t="s">
        <v>171</v>
      </c>
    </row>
    <row r="2416" spans="1:4" x14ac:dyDescent="0.25">
      <c r="A2416" s="1">
        <f t="shared" si="42"/>
        <v>0</v>
      </c>
      <c r="B2416" s="1" t="s">
        <v>1</v>
      </c>
      <c r="C2416" s="1">
        <v>29</v>
      </c>
    </row>
    <row r="2417" spans="1:4" x14ac:dyDescent="0.25">
      <c r="A2417" s="1">
        <f t="shared" si="42"/>
        <v>0</v>
      </c>
      <c r="B2417" s="1" t="s">
        <v>2</v>
      </c>
      <c r="C2417" s="1">
        <v>1007.5</v>
      </c>
    </row>
    <row r="2418" spans="1:4" x14ac:dyDescent="0.25">
      <c r="A2418" s="1">
        <f t="shared" si="42"/>
        <v>0</v>
      </c>
      <c r="B2418" s="1" t="s">
        <v>3</v>
      </c>
      <c r="C2418" s="1" t="s">
        <v>4</v>
      </c>
      <c r="D2418" s="1" t="s">
        <v>5</v>
      </c>
    </row>
    <row r="2419" spans="1:4" x14ac:dyDescent="0.25">
      <c r="A2419" s="1">
        <f t="shared" si="42"/>
        <v>0</v>
      </c>
      <c r="B2419" s="1" t="s">
        <v>20</v>
      </c>
      <c r="C2419" s="1">
        <v>115.2</v>
      </c>
      <c r="D2419" s="1">
        <v>3</v>
      </c>
    </row>
    <row r="2420" spans="1:4" x14ac:dyDescent="0.25">
      <c r="A2420" s="1">
        <f t="shared" si="42"/>
        <v>0</v>
      </c>
      <c r="B2420" s="1" t="s">
        <v>28</v>
      </c>
      <c r="C2420" s="1">
        <v>38.4</v>
      </c>
      <c r="D2420" s="1">
        <v>1</v>
      </c>
    </row>
    <row r="2421" spans="1:4" x14ac:dyDescent="0.25">
      <c r="A2421" s="1">
        <f t="shared" si="42"/>
        <v>0</v>
      </c>
      <c r="B2421" s="1" t="s">
        <v>49</v>
      </c>
      <c r="C2421" s="1">
        <v>400</v>
      </c>
      <c r="D2421" s="1">
        <v>14</v>
      </c>
    </row>
    <row r="2422" spans="1:4" x14ac:dyDescent="0.25">
      <c r="A2422" s="1">
        <f t="shared" si="42"/>
        <v>0</v>
      </c>
      <c r="B2422" s="1" t="s">
        <v>62</v>
      </c>
      <c r="C2422" s="1">
        <v>38.4</v>
      </c>
      <c r="D2422" s="1">
        <v>1</v>
      </c>
    </row>
    <row r="2423" spans="1:4" x14ac:dyDescent="0.25">
      <c r="A2423" s="1">
        <f t="shared" si="42"/>
        <v>0</v>
      </c>
      <c r="B2423" s="1" t="s">
        <v>53</v>
      </c>
      <c r="C2423" s="1">
        <v>28.75</v>
      </c>
      <c r="D2423" s="1">
        <v>1</v>
      </c>
    </row>
    <row r="2424" spans="1:4" x14ac:dyDescent="0.25">
      <c r="A2424" s="1">
        <f t="shared" si="42"/>
        <v>0</v>
      </c>
      <c r="B2424" s="1" t="s">
        <v>33</v>
      </c>
      <c r="C2424" s="1">
        <v>40</v>
      </c>
      <c r="D2424" s="1">
        <v>1</v>
      </c>
    </row>
    <row r="2425" spans="1:4" x14ac:dyDescent="0.25">
      <c r="A2425" s="1">
        <f t="shared" si="42"/>
        <v>0</v>
      </c>
      <c r="B2425" s="1" t="s">
        <v>21</v>
      </c>
      <c r="C2425" s="1">
        <v>54.8</v>
      </c>
      <c r="D2425" s="1">
        <v>1</v>
      </c>
    </row>
    <row r="2426" spans="1:4" x14ac:dyDescent="0.25">
      <c r="A2426" s="1">
        <f t="shared" si="42"/>
        <v>0</v>
      </c>
      <c r="B2426" s="1" t="s">
        <v>22</v>
      </c>
      <c r="C2426" s="1">
        <v>54.8</v>
      </c>
      <c r="D2426" s="1">
        <v>1</v>
      </c>
    </row>
    <row r="2427" spans="1:4" x14ac:dyDescent="0.25">
      <c r="A2427" s="1">
        <f t="shared" si="42"/>
        <v>0</v>
      </c>
      <c r="B2427" s="1" t="s">
        <v>54</v>
      </c>
      <c r="C2427" s="1">
        <v>38.4</v>
      </c>
      <c r="D2427" s="1">
        <v>1</v>
      </c>
    </row>
    <row r="2428" spans="1:4" x14ac:dyDescent="0.25">
      <c r="A2428" s="1">
        <f t="shared" si="42"/>
        <v>0</v>
      </c>
      <c r="B2428" s="1" t="s">
        <v>13</v>
      </c>
      <c r="C2428" s="1">
        <v>38.4</v>
      </c>
      <c r="D2428" s="1">
        <v>1</v>
      </c>
    </row>
    <row r="2429" spans="1:4" x14ac:dyDescent="0.25">
      <c r="A2429" s="1">
        <f t="shared" si="42"/>
        <v>0</v>
      </c>
      <c r="B2429" s="1" t="s">
        <v>18</v>
      </c>
      <c r="C2429" s="1">
        <v>38.4</v>
      </c>
      <c r="D2429" s="1">
        <v>1</v>
      </c>
    </row>
    <row r="2430" spans="1:4" x14ac:dyDescent="0.25">
      <c r="A2430" s="1">
        <f t="shared" si="42"/>
        <v>0</v>
      </c>
      <c r="B2430" s="1" t="s">
        <v>17</v>
      </c>
      <c r="C2430" s="1">
        <v>38.4</v>
      </c>
      <c r="D2430" s="1">
        <v>1</v>
      </c>
    </row>
    <row r="2431" spans="1:4" x14ac:dyDescent="0.25">
      <c r="A2431" s="1">
        <f t="shared" si="42"/>
        <v>0</v>
      </c>
      <c r="B2431" s="1" t="s">
        <v>8</v>
      </c>
      <c r="C2431" s="1">
        <v>54.8</v>
      </c>
      <c r="D2431" s="1">
        <v>1</v>
      </c>
    </row>
    <row r="2432" spans="1:4" x14ac:dyDescent="0.25">
      <c r="A2432" s="1">
        <f t="shared" si="42"/>
        <v>0</v>
      </c>
      <c r="B2432" s="1" t="s">
        <v>45</v>
      </c>
      <c r="C2432" s="1">
        <v>28.75</v>
      </c>
      <c r="D2432" s="1">
        <v>1</v>
      </c>
    </row>
    <row r="2433" spans="1:4" x14ac:dyDescent="0.25">
      <c r="A2433" s="1">
        <f t="shared" si="42"/>
        <v>2433</v>
      </c>
      <c r="B2433" s="1" t="s">
        <v>172</v>
      </c>
    </row>
    <row r="2434" spans="1:4" x14ac:dyDescent="0.25">
      <c r="A2434" s="1">
        <f t="shared" ref="A2434:A2497" si="43">IF(COUNTIF($V$3:$Y$99, $B2434)&lt;&gt;0, ROW($B2434), 0)</f>
        <v>0</v>
      </c>
      <c r="B2434" s="1" t="s">
        <v>1</v>
      </c>
      <c r="C2434" s="1">
        <v>55</v>
      </c>
    </row>
    <row r="2435" spans="1:4" x14ac:dyDescent="0.25">
      <c r="A2435" s="1">
        <f t="shared" si="43"/>
        <v>0</v>
      </c>
      <c r="B2435" s="1" t="s">
        <v>2</v>
      </c>
      <c r="C2435" s="1">
        <v>2317.1999999999998</v>
      </c>
    </row>
    <row r="2436" spans="1:4" x14ac:dyDescent="0.25">
      <c r="A2436" s="1">
        <f t="shared" si="43"/>
        <v>0</v>
      </c>
      <c r="B2436" s="1" t="s">
        <v>3</v>
      </c>
      <c r="C2436" s="1" t="s">
        <v>4</v>
      </c>
      <c r="D2436" s="1" t="s">
        <v>5</v>
      </c>
    </row>
    <row r="2437" spans="1:4" x14ac:dyDescent="0.25">
      <c r="A2437" s="1">
        <f t="shared" si="43"/>
        <v>0</v>
      </c>
      <c r="B2437" s="1" t="s">
        <v>12</v>
      </c>
      <c r="C2437" s="1">
        <v>175</v>
      </c>
      <c r="D2437" s="1">
        <v>5</v>
      </c>
    </row>
    <row r="2438" spans="1:4" x14ac:dyDescent="0.25">
      <c r="A2438" s="1">
        <f t="shared" si="43"/>
        <v>0</v>
      </c>
      <c r="B2438" s="1" t="s">
        <v>18</v>
      </c>
      <c r="C2438" s="1">
        <v>153.6</v>
      </c>
      <c r="D2438" s="1">
        <v>4</v>
      </c>
    </row>
    <row r="2439" spans="1:4" x14ac:dyDescent="0.25">
      <c r="A2439" s="1">
        <f t="shared" si="43"/>
        <v>0</v>
      </c>
      <c r="B2439" s="1" t="s">
        <v>19</v>
      </c>
      <c r="C2439" s="1">
        <v>28.75</v>
      </c>
      <c r="D2439" s="1">
        <v>1</v>
      </c>
    </row>
    <row r="2440" spans="1:4" x14ac:dyDescent="0.25">
      <c r="A2440" s="1">
        <f t="shared" si="43"/>
        <v>0</v>
      </c>
      <c r="B2440" s="1" t="s">
        <v>14</v>
      </c>
      <c r="C2440" s="1">
        <v>28.75</v>
      </c>
      <c r="D2440" s="1">
        <v>2</v>
      </c>
    </row>
    <row r="2441" spans="1:4" x14ac:dyDescent="0.25">
      <c r="A2441" s="1">
        <f t="shared" si="43"/>
        <v>0</v>
      </c>
      <c r="B2441" s="1" t="s">
        <v>20</v>
      </c>
      <c r="C2441" s="1">
        <v>230.4</v>
      </c>
      <c r="D2441" s="1">
        <v>6</v>
      </c>
    </row>
    <row r="2442" spans="1:4" x14ac:dyDescent="0.25">
      <c r="A2442" s="1">
        <f t="shared" si="43"/>
        <v>0</v>
      </c>
      <c r="B2442" s="1" t="s">
        <v>40</v>
      </c>
      <c r="C2442" s="1">
        <v>54.8</v>
      </c>
      <c r="D2442" s="1">
        <v>1</v>
      </c>
    </row>
    <row r="2443" spans="1:4" x14ac:dyDescent="0.25">
      <c r="A2443" s="1">
        <f t="shared" si="43"/>
        <v>0</v>
      </c>
      <c r="B2443" s="1" t="s">
        <v>8</v>
      </c>
      <c r="C2443" s="1">
        <v>602.79999999999995</v>
      </c>
      <c r="D2443" s="1">
        <v>12</v>
      </c>
    </row>
    <row r="2444" spans="1:4" x14ac:dyDescent="0.25">
      <c r="A2444" s="1">
        <f t="shared" si="43"/>
        <v>0</v>
      </c>
      <c r="B2444" s="1" t="s">
        <v>49</v>
      </c>
      <c r="C2444" s="1">
        <v>40</v>
      </c>
      <c r="D2444" s="1">
        <v>1</v>
      </c>
    </row>
    <row r="2445" spans="1:4" x14ac:dyDescent="0.25">
      <c r="A2445" s="1">
        <f t="shared" si="43"/>
        <v>0</v>
      </c>
      <c r="B2445" s="1" t="s">
        <v>7</v>
      </c>
      <c r="C2445" s="1">
        <v>219.2</v>
      </c>
      <c r="D2445" s="1">
        <v>4</v>
      </c>
    </row>
    <row r="2446" spans="1:4" x14ac:dyDescent="0.25">
      <c r="A2446" s="1">
        <f t="shared" si="43"/>
        <v>0</v>
      </c>
      <c r="B2446" s="1" t="s">
        <v>17</v>
      </c>
      <c r="C2446" s="1">
        <v>192</v>
      </c>
      <c r="D2446" s="1">
        <v>5</v>
      </c>
    </row>
    <row r="2447" spans="1:4" x14ac:dyDescent="0.25">
      <c r="A2447" s="1">
        <f t="shared" si="43"/>
        <v>0</v>
      </c>
      <c r="B2447" s="1" t="s">
        <v>54</v>
      </c>
      <c r="C2447" s="1">
        <v>38.4</v>
      </c>
      <c r="D2447" s="1">
        <v>1</v>
      </c>
    </row>
    <row r="2448" spans="1:4" x14ac:dyDescent="0.25">
      <c r="A2448" s="1">
        <f t="shared" si="43"/>
        <v>0</v>
      </c>
      <c r="B2448" s="1" t="s">
        <v>33</v>
      </c>
      <c r="C2448" s="1">
        <v>240</v>
      </c>
      <c r="D2448" s="1">
        <v>6</v>
      </c>
    </row>
    <row r="2449" spans="1:4" x14ac:dyDescent="0.25">
      <c r="A2449" s="1">
        <f t="shared" si="43"/>
        <v>0</v>
      </c>
      <c r="B2449" s="1" t="s">
        <v>6</v>
      </c>
      <c r="C2449" s="1">
        <v>54.8</v>
      </c>
      <c r="D2449" s="1">
        <v>1</v>
      </c>
    </row>
    <row r="2450" spans="1:4" x14ac:dyDescent="0.25">
      <c r="A2450" s="1">
        <f t="shared" si="43"/>
        <v>0</v>
      </c>
      <c r="B2450" s="1" t="s">
        <v>21</v>
      </c>
      <c r="C2450" s="1">
        <v>54.8</v>
      </c>
      <c r="D2450" s="1">
        <v>1</v>
      </c>
    </row>
    <row r="2451" spans="1:4" x14ac:dyDescent="0.25">
      <c r="A2451" s="1">
        <f t="shared" si="43"/>
        <v>0</v>
      </c>
      <c r="B2451" s="1" t="s">
        <v>15</v>
      </c>
      <c r="C2451" s="1">
        <v>68</v>
      </c>
      <c r="D2451" s="1">
        <v>1</v>
      </c>
    </row>
    <row r="2452" spans="1:4" x14ac:dyDescent="0.25">
      <c r="A2452" s="1">
        <f t="shared" si="43"/>
        <v>0</v>
      </c>
      <c r="B2452" s="1" t="s">
        <v>59</v>
      </c>
      <c r="C2452" s="1">
        <v>40</v>
      </c>
      <c r="D2452" s="1">
        <v>1</v>
      </c>
    </row>
    <row r="2453" spans="1:4" x14ac:dyDescent="0.25">
      <c r="A2453" s="1">
        <f t="shared" si="43"/>
        <v>0</v>
      </c>
      <c r="B2453" s="1" t="s">
        <v>41</v>
      </c>
      <c r="C2453" s="1">
        <v>28.75</v>
      </c>
      <c r="D2453" s="1">
        <v>1</v>
      </c>
    </row>
    <row r="2454" spans="1:4" x14ac:dyDescent="0.25">
      <c r="A2454" s="1">
        <f t="shared" si="43"/>
        <v>0</v>
      </c>
      <c r="B2454" s="1" t="s">
        <v>62</v>
      </c>
      <c r="C2454" s="1">
        <v>38.4</v>
      </c>
      <c r="D2454" s="1">
        <v>1</v>
      </c>
    </row>
    <row r="2455" spans="1:4" x14ac:dyDescent="0.25">
      <c r="A2455" s="1">
        <f t="shared" si="43"/>
        <v>0</v>
      </c>
      <c r="B2455" s="1" t="s">
        <v>45</v>
      </c>
      <c r="C2455" s="1">
        <v>28.75</v>
      </c>
      <c r="D2455" s="1">
        <v>1</v>
      </c>
    </row>
    <row r="2456" spans="1:4" x14ac:dyDescent="0.25">
      <c r="A2456" s="1">
        <f t="shared" si="43"/>
        <v>2456</v>
      </c>
      <c r="B2456" s="1" t="s">
        <v>173</v>
      </c>
    </row>
    <row r="2457" spans="1:4" x14ac:dyDescent="0.25">
      <c r="A2457" s="1">
        <f t="shared" si="43"/>
        <v>0</v>
      </c>
      <c r="B2457" s="1" t="s">
        <v>1</v>
      </c>
      <c r="C2457" s="1">
        <v>19</v>
      </c>
    </row>
    <row r="2458" spans="1:4" x14ac:dyDescent="0.25">
      <c r="A2458" s="1">
        <f t="shared" si="43"/>
        <v>0</v>
      </c>
      <c r="B2458" s="1" t="s">
        <v>2</v>
      </c>
      <c r="C2458" s="1">
        <v>914.8</v>
      </c>
    </row>
    <row r="2459" spans="1:4" x14ac:dyDescent="0.25">
      <c r="A2459" s="1">
        <f t="shared" si="43"/>
        <v>0</v>
      </c>
      <c r="B2459" s="1" t="s">
        <v>3</v>
      </c>
      <c r="C2459" s="1" t="s">
        <v>4</v>
      </c>
      <c r="D2459" s="1" t="s">
        <v>5</v>
      </c>
    </row>
    <row r="2460" spans="1:4" x14ac:dyDescent="0.25">
      <c r="A2460" s="1">
        <f t="shared" si="43"/>
        <v>0</v>
      </c>
      <c r="B2460" s="1" t="s">
        <v>20</v>
      </c>
      <c r="C2460" s="1">
        <v>153.6</v>
      </c>
      <c r="D2460" s="1">
        <v>4</v>
      </c>
    </row>
    <row r="2461" spans="1:4" x14ac:dyDescent="0.25">
      <c r="A2461" s="1">
        <f t="shared" si="43"/>
        <v>0</v>
      </c>
      <c r="B2461" s="1" t="s">
        <v>40</v>
      </c>
      <c r="C2461" s="1">
        <v>54.8</v>
      </c>
      <c r="D2461" s="1">
        <v>1</v>
      </c>
    </row>
    <row r="2462" spans="1:4" x14ac:dyDescent="0.25">
      <c r="A2462" s="1">
        <f t="shared" si="43"/>
        <v>0</v>
      </c>
      <c r="B2462" s="1" t="s">
        <v>7</v>
      </c>
      <c r="C2462" s="1">
        <v>54.8</v>
      </c>
      <c r="D2462" s="1">
        <v>1</v>
      </c>
    </row>
    <row r="2463" spans="1:4" x14ac:dyDescent="0.25">
      <c r="A2463" s="1">
        <f t="shared" si="43"/>
        <v>0</v>
      </c>
      <c r="B2463" s="1" t="s">
        <v>25</v>
      </c>
      <c r="C2463" s="1">
        <v>40</v>
      </c>
      <c r="D2463" s="1">
        <v>1</v>
      </c>
    </row>
    <row r="2464" spans="1:4" x14ac:dyDescent="0.25">
      <c r="A2464" s="1">
        <f t="shared" si="43"/>
        <v>0</v>
      </c>
      <c r="B2464" s="1" t="s">
        <v>64</v>
      </c>
      <c r="C2464" s="1">
        <v>38.4</v>
      </c>
      <c r="D2464" s="1">
        <v>1</v>
      </c>
    </row>
    <row r="2465" spans="1:4" x14ac:dyDescent="0.25">
      <c r="A2465" s="1">
        <f t="shared" si="43"/>
        <v>0</v>
      </c>
      <c r="B2465" s="1" t="s">
        <v>16</v>
      </c>
      <c r="C2465" s="1">
        <v>70.400000000000006</v>
      </c>
      <c r="D2465" s="1">
        <v>2</v>
      </c>
    </row>
    <row r="2466" spans="1:4" x14ac:dyDescent="0.25">
      <c r="A2466" s="1">
        <f t="shared" si="43"/>
        <v>0</v>
      </c>
      <c r="B2466" s="1" t="s">
        <v>52</v>
      </c>
      <c r="C2466" s="1">
        <v>192</v>
      </c>
      <c r="D2466" s="1">
        <v>3</v>
      </c>
    </row>
    <row r="2467" spans="1:4" x14ac:dyDescent="0.25">
      <c r="A2467" s="1">
        <f t="shared" si="43"/>
        <v>0</v>
      </c>
      <c r="B2467" s="1" t="s">
        <v>33</v>
      </c>
      <c r="C2467" s="1">
        <v>40</v>
      </c>
      <c r="D2467" s="1">
        <v>1</v>
      </c>
    </row>
    <row r="2468" spans="1:4" x14ac:dyDescent="0.25">
      <c r="A2468" s="1">
        <f t="shared" si="43"/>
        <v>0</v>
      </c>
      <c r="B2468" s="1" t="s">
        <v>8</v>
      </c>
      <c r="C2468" s="1">
        <v>109.6</v>
      </c>
      <c r="D2468" s="1">
        <v>2</v>
      </c>
    </row>
    <row r="2469" spans="1:4" x14ac:dyDescent="0.25">
      <c r="A2469" s="1">
        <f t="shared" si="43"/>
        <v>0</v>
      </c>
      <c r="B2469" s="1" t="s">
        <v>15</v>
      </c>
      <c r="C2469" s="1">
        <v>68</v>
      </c>
      <c r="D2469" s="1">
        <v>1</v>
      </c>
    </row>
    <row r="2470" spans="1:4" x14ac:dyDescent="0.25">
      <c r="A2470" s="1">
        <f t="shared" si="43"/>
        <v>0</v>
      </c>
      <c r="B2470" s="1" t="s">
        <v>22</v>
      </c>
      <c r="C2470" s="1">
        <v>54.8</v>
      </c>
      <c r="D2470" s="1">
        <v>1</v>
      </c>
    </row>
    <row r="2471" spans="1:4" x14ac:dyDescent="0.25">
      <c r="A2471" s="1">
        <f t="shared" si="43"/>
        <v>0</v>
      </c>
      <c r="B2471" s="1" t="s">
        <v>54</v>
      </c>
      <c r="C2471" s="1">
        <v>38.4</v>
      </c>
      <c r="D2471" s="1">
        <v>1</v>
      </c>
    </row>
    <row r="2472" spans="1:4" x14ac:dyDescent="0.25">
      <c r="A2472" s="1">
        <f t="shared" si="43"/>
        <v>2472</v>
      </c>
      <c r="B2472" s="1" t="s">
        <v>174</v>
      </c>
    </row>
    <row r="2473" spans="1:4" x14ac:dyDescent="0.25">
      <c r="A2473" s="1">
        <f t="shared" si="43"/>
        <v>0</v>
      </c>
      <c r="B2473" s="1" t="s">
        <v>1</v>
      </c>
      <c r="C2473" s="1">
        <v>8</v>
      </c>
    </row>
    <row r="2474" spans="1:4" x14ac:dyDescent="0.25">
      <c r="A2474" s="1">
        <f t="shared" si="43"/>
        <v>0</v>
      </c>
      <c r="B2474" s="1" t="s">
        <v>2</v>
      </c>
      <c r="C2474" s="1">
        <v>331.95</v>
      </c>
    </row>
    <row r="2475" spans="1:4" x14ac:dyDescent="0.25">
      <c r="A2475" s="1">
        <f t="shared" si="43"/>
        <v>0</v>
      </c>
      <c r="B2475" s="1" t="s">
        <v>3</v>
      </c>
      <c r="C2475" s="1" t="s">
        <v>4</v>
      </c>
      <c r="D2475" s="1" t="s">
        <v>5</v>
      </c>
    </row>
    <row r="2476" spans="1:4" x14ac:dyDescent="0.25">
      <c r="A2476" s="1">
        <f t="shared" si="43"/>
        <v>0</v>
      </c>
      <c r="B2476" s="1" t="s">
        <v>14</v>
      </c>
      <c r="C2476" s="1">
        <v>28.75</v>
      </c>
      <c r="D2476" s="1">
        <v>1</v>
      </c>
    </row>
    <row r="2477" spans="1:4" x14ac:dyDescent="0.25">
      <c r="A2477" s="1">
        <f t="shared" si="43"/>
        <v>0</v>
      </c>
      <c r="B2477" s="1" t="s">
        <v>57</v>
      </c>
      <c r="C2477" s="1">
        <v>40</v>
      </c>
      <c r="D2477" s="1">
        <v>1</v>
      </c>
    </row>
    <row r="2478" spans="1:4" x14ac:dyDescent="0.25">
      <c r="A2478" s="1">
        <f t="shared" si="43"/>
        <v>0</v>
      </c>
      <c r="B2478" s="1" t="s">
        <v>40</v>
      </c>
      <c r="C2478" s="1">
        <v>109.6</v>
      </c>
      <c r="D2478" s="1">
        <v>2</v>
      </c>
    </row>
    <row r="2479" spans="1:4" x14ac:dyDescent="0.25">
      <c r="A2479" s="1">
        <f t="shared" si="43"/>
        <v>0</v>
      </c>
      <c r="B2479" s="1" t="s">
        <v>17</v>
      </c>
      <c r="C2479" s="1">
        <v>38.4</v>
      </c>
      <c r="D2479" s="1">
        <v>1</v>
      </c>
    </row>
    <row r="2480" spans="1:4" x14ac:dyDescent="0.25">
      <c r="A2480" s="1">
        <f t="shared" si="43"/>
        <v>0</v>
      </c>
      <c r="B2480" s="1" t="s">
        <v>20</v>
      </c>
      <c r="C2480" s="1">
        <v>76.8</v>
      </c>
      <c r="D2480" s="1">
        <v>2</v>
      </c>
    </row>
    <row r="2481" spans="1:4" x14ac:dyDescent="0.25">
      <c r="A2481" s="1">
        <f t="shared" si="43"/>
        <v>0</v>
      </c>
      <c r="B2481" s="1" t="s">
        <v>44</v>
      </c>
      <c r="C2481" s="1">
        <v>38.4</v>
      </c>
      <c r="D2481" s="1">
        <v>1</v>
      </c>
    </row>
    <row r="2482" spans="1:4" x14ac:dyDescent="0.25">
      <c r="A2482" s="1">
        <f t="shared" si="43"/>
        <v>2482</v>
      </c>
      <c r="B2482" s="1" t="s">
        <v>175</v>
      </c>
    </row>
    <row r="2483" spans="1:4" x14ac:dyDescent="0.25">
      <c r="A2483" s="1">
        <f t="shared" si="43"/>
        <v>0</v>
      </c>
      <c r="B2483" s="1" t="s">
        <v>1</v>
      </c>
      <c r="C2483" s="1">
        <v>7</v>
      </c>
    </row>
    <row r="2484" spans="1:4" x14ac:dyDescent="0.25">
      <c r="A2484" s="1">
        <f t="shared" si="43"/>
        <v>0</v>
      </c>
      <c r="B2484" s="1" t="s">
        <v>2</v>
      </c>
      <c r="C2484" s="1">
        <v>318</v>
      </c>
    </row>
    <row r="2485" spans="1:4" x14ac:dyDescent="0.25">
      <c r="A2485" s="1">
        <f t="shared" si="43"/>
        <v>0</v>
      </c>
      <c r="B2485" s="1" t="s">
        <v>3</v>
      </c>
      <c r="C2485" s="1" t="s">
        <v>4</v>
      </c>
      <c r="D2485" s="1" t="s">
        <v>5</v>
      </c>
    </row>
    <row r="2486" spans="1:4" x14ac:dyDescent="0.25">
      <c r="A2486" s="1">
        <f t="shared" si="43"/>
        <v>0</v>
      </c>
      <c r="B2486" s="1" t="s">
        <v>17</v>
      </c>
      <c r="C2486" s="1">
        <v>115.2</v>
      </c>
      <c r="D2486" s="1">
        <v>3</v>
      </c>
    </row>
    <row r="2487" spans="1:4" x14ac:dyDescent="0.25">
      <c r="A2487" s="1">
        <f t="shared" si="43"/>
        <v>0</v>
      </c>
      <c r="B2487" s="1" t="s">
        <v>9</v>
      </c>
      <c r="C2487" s="1">
        <v>54.8</v>
      </c>
      <c r="D2487" s="1">
        <v>1</v>
      </c>
    </row>
    <row r="2488" spans="1:4" x14ac:dyDescent="0.25">
      <c r="A2488" s="1">
        <f t="shared" si="43"/>
        <v>0</v>
      </c>
      <c r="B2488" s="1" t="s">
        <v>22</v>
      </c>
      <c r="C2488" s="1">
        <v>54.8</v>
      </c>
      <c r="D2488" s="1">
        <v>1</v>
      </c>
    </row>
    <row r="2489" spans="1:4" x14ac:dyDescent="0.25">
      <c r="A2489" s="1">
        <f t="shared" si="43"/>
        <v>0</v>
      </c>
      <c r="B2489" s="1" t="s">
        <v>18</v>
      </c>
      <c r="C2489" s="1">
        <v>38.4</v>
      </c>
      <c r="D2489" s="1">
        <v>1</v>
      </c>
    </row>
    <row r="2490" spans="1:4" x14ac:dyDescent="0.25">
      <c r="A2490" s="1">
        <f t="shared" si="43"/>
        <v>0</v>
      </c>
      <c r="B2490" s="1" t="s">
        <v>40</v>
      </c>
      <c r="C2490" s="1">
        <v>54.8</v>
      </c>
      <c r="D2490" s="1">
        <v>1</v>
      </c>
    </row>
    <row r="2491" spans="1:4" x14ac:dyDescent="0.25">
      <c r="A2491" s="1">
        <f t="shared" si="43"/>
        <v>2491</v>
      </c>
      <c r="B2491" s="1" t="s">
        <v>176</v>
      </c>
    </row>
    <row r="2492" spans="1:4" x14ac:dyDescent="0.25">
      <c r="A2492" s="1">
        <f t="shared" si="43"/>
        <v>0</v>
      </c>
      <c r="B2492" s="1" t="s">
        <v>1</v>
      </c>
      <c r="C2492" s="1">
        <v>55</v>
      </c>
    </row>
    <row r="2493" spans="1:4" x14ac:dyDescent="0.25">
      <c r="A2493" s="1">
        <f t="shared" si="43"/>
        <v>0</v>
      </c>
      <c r="B2493" s="1" t="s">
        <v>2</v>
      </c>
      <c r="C2493" s="1">
        <v>2157.29</v>
      </c>
    </row>
    <row r="2494" spans="1:4" x14ac:dyDescent="0.25">
      <c r="A2494" s="1">
        <f t="shared" si="43"/>
        <v>0</v>
      </c>
      <c r="B2494" s="1" t="s">
        <v>3</v>
      </c>
      <c r="C2494" s="1" t="s">
        <v>4</v>
      </c>
      <c r="D2494" s="1" t="s">
        <v>5</v>
      </c>
    </row>
    <row r="2495" spans="1:4" x14ac:dyDescent="0.25">
      <c r="A2495" s="1">
        <f t="shared" si="43"/>
        <v>0</v>
      </c>
      <c r="B2495" s="1" t="s">
        <v>12</v>
      </c>
      <c r="C2495" s="1">
        <v>175</v>
      </c>
      <c r="D2495" s="1">
        <v>5</v>
      </c>
    </row>
    <row r="2496" spans="1:4" x14ac:dyDescent="0.25">
      <c r="A2496" s="1">
        <f t="shared" si="43"/>
        <v>0</v>
      </c>
      <c r="B2496" s="1" t="s">
        <v>8</v>
      </c>
      <c r="C2496" s="1">
        <v>438.4</v>
      </c>
      <c r="D2496" s="1">
        <v>10</v>
      </c>
    </row>
    <row r="2497" spans="1:4" x14ac:dyDescent="0.25">
      <c r="A2497" s="1">
        <f t="shared" si="43"/>
        <v>0</v>
      </c>
      <c r="B2497" s="1" t="s">
        <v>10</v>
      </c>
      <c r="C2497" s="1">
        <v>76.8</v>
      </c>
      <c r="D2497" s="1">
        <v>2</v>
      </c>
    </row>
    <row r="2498" spans="1:4" x14ac:dyDescent="0.25">
      <c r="A2498" s="1">
        <f t="shared" ref="A2498:A2561" si="44">IF(COUNTIF($V$3:$Y$99, $B2498)&lt;&gt;0, ROW($B2498), 0)</f>
        <v>0</v>
      </c>
      <c r="B2498" s="1" t="s">
        <v>20</v>
      </c>
      <c r="C2498" s="1">
        <v>268.8</v>
      </c>
      <c r="D2498" s="1">
        <v>8</v>
      </c>
    </row>
    <row r="2499" spans="1:4" x14ac:dyDescent="0.25">
      <c r="A2499" s="1">
        <f t="shared" si="44"/>
        <v>0</v>
      </c>
      <c r="B2499" s="1" t="s">
        <v>21</v>
      </c>
      <c r="C2499" s="1">
        <v>164.4</v>
      </c>
      <c r="D2499" s="1">
        <v>3</v>
      </c>
    </row>
    <row r="2500" spans="1:4" x14ac:dyDescent="0.25">
      <c r="A2500" s="1">
        <f t="shared" si="44"/>
        <v>0</v>
      </c>
      <c r="B2500" s="1" t="s">
        <v>14</v>
      </c>
      <c r="C2500" s="1">
        <v>28.75</v>
      </c>
      <c r="D2500" s="1">
        <v>1</v>
      </c>
    </row>
    <row r="2501" spans="1:4" x14ac:dyDescent="0.25">
      <c r="A2501" s="1">
        <f t="shared" si="44"/>
        <v>0</v>
      </c>
      <c r="B2501" s="1" t="s">
        <v>54</v>
      </c>
      <c r="C2501" s="1">
        <v>115.2</v>
      </c>
      <c r="D2501" s="1">
        <v>3</v>
      </c>
    </row>
    <row r="2502" spans="1:4" x14ac:dyDescent="0.25">
      <c r="A2502" s="1">
        <f t="shared" si="44"/>
        <v>0</v>
      </c>
      <c r="B2502" s="1" t="s">
        <v>51</v>
      </c>
      <c r="C2502" s="1">
        <v>38.4</v>
      </c>
      <c r="D2502" s="1">
        <v>1</v>
      </c>
    </row>
    <row r="2503" spans="1:4" x14ac:dyDescent="0.25">
      <c r="A2503" s="1">
        <f t="shared" si="44"/>
        <v>0</v>
      </c>
      <c r="B2503" s="1" t="s">
        <v>30</v>
      </c>
      <c r="C2503" s="1">
        <v>15.99</v>
      </c>
      <c r="D2503" s="1">
        <v>1</v>
      </c>
    </row>
    <row r="2504" spans="1:4" x14ac:dyDescent="0.25">
      <c r="A2504" s="1">
        <f t="shared" si="44"/>
        <v>0</v>
      </c>
      <c r="B2504" s="1" t="s">
        <v>16</v>
      </c>
      <c r="C2504" s="1">
        <v>70.400000000000006</v>
      </c>
      <c r="D2504" s="1">
        <v>2</v>
      </c>
    </row>
    <row r="2505" spans="1:4" x14ac:dyDescent="0.25">
      <c r="A2505" s="1">
        <f t="shared" si="44"/>
        <v>0</v>
      </c>
      <c r="B2505" s="1" t="s">
        <v>18</v>
      </c>
      <c r="C2505" s="1">
        <v>307.2</v>
      </c>
      <c r="D2505" s="1">
        <v>9</v>
      </c>
    </row>
    <row r="2506" spans="1:4" x14ac:dyDescent="0.25">
      <c r="A2506" s="1">
        <f t="shared" si="44"/>
        <v>0</v>
      </c>
      <c r="B2506" s="1" t="s">
        <v>6</v>
      </c>
      <c r="C2506" s="1">
        <v>54.8</v>
      </c>
      <c r="D2506" s="1">
        <v>1</v>
      </c>
    </row>
    <row r="2507" spans="1:4" x14ac:dyDescent="0.25">
      <c r="A2507" s="1">
        <f t="shared" si="44"/>
        <v>0</v>
      </c>
      <c r="B2507" s="1" t="s">
        <v>40</v>
      </c>
      <c r="C2507" s="1">
        <v>164.4</v>
      </c>
      <c r="D2507" s="1">
        <v>3</v>
      </c>
    </row>
    <row r="2508" spans="1:4" x14ac:dyDescent="0.25">
      <c r="A2508" s="1">
        <f t="shared" si="44"/>
        <v>0</v>
      </c>
      <c r="B2508" s="1" t="s">
        <v>49</v>
      </c>
      <c r="C2508" s="1">
        <v>40</v>
      </c>
      <c r="D2508" s="1">
        <v>1</v>
      </c>
    </row>
    <row r="2509" spans="1:4" x14ac:dyDescent="0.25">
      <c r="A2509" s="1">
        <f t="shared" si="44"/>
        <v>0</v>
      </c>
      <c r="B2509" s="1" t="s">
        <v>62</v>
      </c>
      <c r="C2509" s="1">
        <v>76.8</v>
      </c>
      <c r="D2509" s="1">
        <v>2</v>
      </c>
    </row>
    <row r="2510" spans="1:4" x14ac:dyDescent="0.25">
      <c r="A2510" s="1">
        <f t="shared" si="44"/>
        <v>0</v>
      </c>
      <c r="B2510" s="1" t="s">
        <v>44</v>
      </c>
      <c r="C2510" s="1">
        <v>38.4</v>
      </c>
      <c r="D2510" s="1">
        <v>1</v>
      </c>
    </row>
    <row r="2511" spans="1:4" x14ac:dyDescent="0.25">
      <c r="A2511" s="1">
        <f t="shared" si="44"/>
        <v>0</v>
      </c>
      <c r="B2511" s="1" t="s">
        <v>22</v>
      </c>
      <c r="C2511" s="1">
        <v>54.8</v>
      </c>
      <c r="D2511" s="1">
        <v>1</v>
      </c>
    </row>
    <row r="2512" spans="1:4" x14ac:dyDescent="0.25">
      <c r="A2512" s="1">
        <f t="shared" si="44"/>
        <v>0</v>
      </c>
      <c r="B2512" s="1" t="s">
        <v>41</v>
      </c>
      <c r="C2512" s="1">
        <v>28.75</v>
      </c>
      <c r="D2512" s="1">
        <v>1</v>
      </c>
    </row>
    <row r="2513" spans="1:4" x14ac:dyDescent="0.25">
      <c r="A2513" s="1">
        <f t="shared" si="44"/>
        <v>2513</v>
      </c>
      <c r="B2513" s="1" t="s">
        <v>177</v>
      </c>
    </row>
    <row r="2514" spans="1:4" x14ac:dyDescent="0.25">
      <c r="A2514" s="1">
        <f t="shared" si="44"/>
        <v>0</v>
      </c>
      <c r="B2514" s="1" t="s">
        <v>1</v>
      </c>
      <c r="C2514" s="1">
        <v>24</v>
      </c>
    </row>
    <row r="2515" spans="1:4" x14ac:dyDescent="0.25">
      <c r="A2515" s="1">
        <f t="shared" si="44"/>
        <v>0</v>
      </c>
      <c r="B2515" s="1" t="s">
        <v>2</v>
      </c>
      <c r="C2515" s="1">
        <v>1032.8</v>
      </c>
    </row>
    <row r="2516" spans="1:4" x14ac:dyDescent="0.25">
      <c r="A2516" s="1">
        <f t="shared" si="44"/>
        <v>0</v>
      </c>
      <c r="B2516" s="1" t="s">
        <v>3</v>
      </c>
      <c r="C2516" s="1" t="s">
        <v>4</v>
      </c>
      <c r="D2516" s="1" t="s">
        <v>5</v>
      </c>
    </row>
    <row r="2517" spans="1:4" x14ac:dyDescent="0.25">
      <c r="A2517" s="1">
        <f t="shared" si="44"/>
        <v>0</v>
      </c>
      <c r="B2517" s="1" t="s">
        <v>20</v>
      </c>
      <c r="C2517" s="1">
        <v>115.2</v>
      </c>
      <c r="D2517" s="1">
        <v>3</v>
      </c>
    </row>
    <row r="2518" spans="1:4" x14ac:dyDescent="0.25">
      <c r="A2518" s="1">
        <f t="shared" si="44"/>
        <v>0</v>
      </c>
      <c r="B2518" s="1" t="s">
        <v>40</v>
      </c>
      <c r="C2518" s="1">
        <v>164.4</v>
      </c>
      <c r="D2518" s="1">
        <v>3</v>
      </c>
    </row>
    <row r="2519" spans="1:4" x14ac:dyDescent="0.25">
      <c r="A2519" s="1">
        <f t="shared" si="44"/>
        <v>0</v>
      </c>
      <c r="B2519" s="1" t="s">
        <v>8</v>
      </c>
      <c r="C2519" s="1">
        <v>219.2</v>
      </c>
      <c r="D2519" s="1">
        <v>5</v>
      </c>
    </row>
    <row r="2520" spans="1:4" x14ac:dyDescent="0.25">
      <c r="A2520" s="1">
        <f t="shared" si="44"/>
        <v>0</v>
      </c>
      <c r="B2520" s="1" t="s">
        <v>12</v>
      </c>
      <c r="C2520" s="1">
        <v>210</v>
      </c>
      <c r="D2520" s="1">
        <v>6</v>
      </c>
    </row>
    <row r="2521" spans="1:4" x14ac:dyDescent="0.25">
      <c r="A2521" s="1">
        <f t="shared" si="44"/>
        <v>0</v>
      </c>
      <c r="B2521" s="1" t="s">
        <v>15</v>
      </c>
      <c r="C2521" s="1">
        <v>68</v>
      </c>
      <c r="D2521" s="1">
        <v>1</v>
      </c>
    </row>
    <row r="2522" spans="1:4" x14ac:dyDescent="0.25">
      <c r="A2522" s="1">
        <f t="shared" si="44"/>
        <v>0</v>
      </c>
      <c r="B2522" s="1" t="s">
        <v>51</v>
      </c>
      <c r="C2522" s="1">
        <v>38.4</v>
      </c>
      <c r="D2522" s="1">
        <v>1</v>
      </c>
    </row>
    <row r="2523" spans="1:4" x14ac:dyDescent="0.25">
      <c r="A2523" s="1">
        <f t="shared" si="44"/>
        <v>0</v>
      </c>
      <c r="B2523" s="1" t="s">
        <v>54</v>
      </c>
      <c r="C2523" s="1">
        <v>115.2</v>
      </c>
      <c r="D2523" s="1">
        <v>3</v>
      </c>
    </row>
    <row r="2524" spans="1:4" x14ac:dyDescent="0.25">
      <c r="A2524" s="1">
        <f t="shared" si="44"/>
        <v>0</v>
      </c>
      <c r="B2524" s="1" t="s">
        <v>18</v>
      </c>
      <c r="C2524" s="1">
        <v>38.4</v>
      </c>
      <c r="D2524" s="1">
        <v>1</v>
      </c>
    </row>
    <row r="2525" spans="1:4" x14ac:dyDescent="0.25">
      <c r="A2525" s="1">
        <f t="shared" si="44"/>
        <v>0</v>
      </c>
      <c r="B2525" s="1" t="s">
        <v>52</v>
      </c>
      <c r="C2525" s="1">
        <v>64</v>
      </c>
      <c r="D2525" s="1">
        <v>1</v>
      </c>
    </row>
    <row r="2526" spans="1:4" x14ac:dyDescent="0.25">
      <c r="A2526" s="1">
        <f t="shared" si="44"/>
        <v>2526</v>
      </c>
      <c r="B2526" s="1" t="s">
        <v>178</v>
      </c>
    </row>
    <row r="2527" spans="1:4" x14ac:dyDescent="0.25">
      <c r="A2527" s="1">
        <f t="shared" si="44"/>
        <v>0</v>
      </c>
      <c r="B2527" s="1" t="s">
        <v>1</v>
      </c>
      <c r="C2527" s="1">
        <v>35</v>
      </c>
    </row>
    <row r="2528" spans="1:4" x14ac:dyDescent="0.25">
      <c r="A2528" s="1">
        <f t="shared" si="44"/>
        <v>0</v>
      </c>
      <c r="B2528" s="1" t="s">
        <v>2</v>
      </c>
      <c r="C2528" s="1">
        <v>1580.75</v>
      </c>
    </row>
    <row r="2529" spans="1:4" x14ac:dyDescent="0.25">
      <c r="A2529" s="1">
        <f t="shared" si="44"/>
        <v>0</v>
      </c>
      <c r="B2529" s="1" t="s">
        <v>3</v>
      </c>
      <c r="C2529" s="1" t="s">
        <v>4</v>
      </c>
      <c r="D2529" s="1" t="s">
        <v>5</v>
      </c>
    </row>
    <row r="2530" spans="1:4" x14ac:dyDescent="0.25">
      <c r="A2530" s="1">
        <f t="shared" si="44"/>
        <v>0</v>
      </c>
      <c r="B2530" s="1" t="s">
        <v>12</v>
      </c>
      <c r="C2530" s="1">
        <v>175</v>
      </c>
      <c r="D2530" s="1">
        <v>6</v>
      </c>
    </row>
    <row r="2531" spans="1:4" x14ac:dyDescent="0.25">
      <c r="A2531" s="1">
        <f t="shared" si="44"/>
        <v>0</v>
      </c>
      <c r="B2531" s="1" t="s">
        <v>15</v>
      </c>
      <c r="C2531" s="1">
        <v>204</v>
      </c>
      <c r="D2531" s="1">
        <v>3</v>
      </c>
    </row>
    <row r="2532" spans="1:4" x14ac:dyDescent="0.25">
      <c r="A2532" s="1">
        <f t="shared" si="44"/>
        <v>0</v>
      </c>
      <c r="B2532" s="1" t="s">
        <v>16</v>
      </c>
      <c r="C2532" s="1">
        <v>35.200000000000003</v>
      </c>
      <c r="D2532" s="1">
        <v>1</v>
      </c>
    </row>
    <row r="2533" spans="1:4" x14ac:dyDescent="0.25">
      <c r="A2533" s="1">
        <f t="shared" si="44"/>
        <v>0</v>
      </c>
      <c r="B2533" s="1" t="s">
        <v>13</v>
      </c>
      <c r="C2533" s="1">
        <v>76.8</v>
      </c>
      <c r="D2533" s="1">
        <v>2</v>
      </c>
    </row>
    <row r="2534" spans="1:4" x14ac:dyDescent="0.25">
      <c r="A2534" s="1">
        <f t="shared" si="44"/>
        <v>0</v>
      </c>
      <c r="B2534" s="1" t="s">
        <v>49</v>
      </c>
      <c r="C2534" s="1">
        <v>80</v>
      </c>
      <c r="D2534" s="1">
        <v>2</v>
      </c>
    </row>
    <row r="2535" spans="1:4" x14ac:dyDescent="0.25">
      <c r="A2535" s="1">
        <f t="shared" si="44"/>
        <v>0</v>
      </c>
      <c r="B2535" s="1" t="s">
        <v>8</v>
      </c>
      <c r="C2535" s="1">
        <v>109.6</v>
      </c>
      <c r="D2535" s="1">
        <v>2</v>
      </c>
    </row>
    <row r="2536" spans="1:4" x14ac:dyDescent="0.25">
      <c r="A2536" s="1">
        <f t="shared" si="44"/>
        <v>0</v>
      </c>
      <c r="B2536" s="1" t="s">
        <v>54</v>
      </c>
      <c r="C2536" s="1">
        <v>76.8</v>
      </c>
      <c r="D2536" s="1">
        <v>2</v>
      </c>
    </row>
    <row r="2537" spans="1:4" x14ac:dyDescent="0.25">
      <c r="A2537" s="1">
        <f t="shared" si="44"/>
        <v>0</v>
      </c>
      <c r="B2537" s="1" t="s">
        <v>21</v>
      </c>
      <c r="C2537" s="1">
        <v>493.2</v>
      </c>
      <c r="D2537" s="1">
        <v>9</v>
      </c>
    </row>
    <row r="2538" spans="1:4" x14ac:dyDescent="0.25">
      <c r="A2538" s="1">
        <f t="shared" si="44"/>
        <v>0</v>
      </c>
      <c r="B2538" s="1" t="s">
        <v>30</v>
      </c>
      <c r="C2538" s="1">
        <v>15.99</v>
      </c>
      <c r="D2538" s="1">
        <v>1</v>
      </c>
    </row>
    <row r="2539" spans="1:4" x14ac:dyDescent="0.25">
      <c r="A2539" s="1">
        <f t="shared" si="44"/>
        <v>0</v>
      </c>
      <c r="B2539" s="1" t="s">
        <v>36</v>
      </c>
      <c r="C2539" s="1">
        <v>34.56</v>
      </c>
      <c r="D2539" s="1">
        <v>1</v>
      </c>
    </row>
    <row r="2540" spans="1:4" x14ac:dyDescent="0.25">
      <c r="A2540" s="1">
        <f t="shared" si="44"/>
        <v>0</v>
      </c>
      <c r="B2540" s="1" t="s">
        <v>7</v>
      </c>
      <c r="C2540" s="1">
        <v>54.8</v>
      </c>
      <c r="D2540" s="1">
        <v>1</v>
      </c>
    </row>
    <row r="2541" spans="1:4" x14ac:dyDescent="0.25">
      <c r="A2541" s="1">
        <f t="shared" si="44"/>
        <v>0</v>
      </c>
      <c r="B2541" s="1" t="s">
        <v>40</v>
      </c>
      <c r="C2541" s="1">
        <v>109.6</v>
      </c>
      <c r="D2541" s="1">
        <v>2</v>
      </c>
    </row>
    <row r="2542" spans="1:4" x14ac:dyDescent="0.25">
      <c r="A2542" s="1">
        <f t="shared" si="44"/>
        <v>0</v>
      </c>
      <c r="B2542" s="1" t="s">
        <v>17</v>
      </c>
      <c r="C2542" s="1">
        <v>38.4</v>
      </c>
      <c r="D2542" s="1">
        <v>1</v>
      </c>
    </row>
    <row r="2543" spans="1:4" x14ac:dyDescent="0.25">
      <c r="A2543" s="1">
        <f t="shared" si="44"/>
        <v>0</v>
      </c>
      <c r="B2543" s="1" t="s">
        <v>55</v>
      </c>
      <c r="C2543" s="1">
        <v>38.4</v>
      </c>
      <c r="D2543" s="1">
        <v>1</v>
      </c>
    </row>
    <row r="2544" spans="1:4" x14ac:dyDescent="0.25">
      <c r="A2544" s="1">
        <f t="shared" si="44"/>
        <v>0</v>
      </c>
      <c r="B2544" s="1" t="s">
        <v>62</v>
      </c>
      <c r="C2544" s="1">
        <v>38.4</v>
      </c>
      <c r="D2544" s="1">
        <v>1</v>
      </c>
    </row>
    <row r="2545" spans="1:4" x14ac:dyDescent="0.25">
      <c r="A2545" s="1">
        <f t="shared" si="44"/>
        <v>2545</v>
      </c>
      <c r="B2545" s="1" t="s">
        <v>179</v>
      </c>
    </row>
    <row r="2546" spans="1:4" x14ac:dyDescent="0.25">
      <c r="A2546" s="1">
        <f t="shared" si="44"/>
        <v>0</v>
      </c>
      <c r="B2546" s="1" t="s">
        <v>1</v>
      </c>
      <c r="C2546" s="1">
        <v>13</v>
      </c>
    </row>
    <row r="2547" spans="1:4" x14ac:dyDescent="0.25">
      <c r="A2547" s="1">
        <f t="shared" si="44"/>
        <v>0</v>
      </c>
      <c r="B2547" s="1" t="s">
        <v>2</v>
      </c>
      <c r="C2547" s="1">
        <v>570.39</v>
      </c>
    </row>
    <row r="2548" spans="1:4" x14ac:dyDescent="0.25">
      <c r="A2548" s="1">
        <f t="shared" si="44"/>
        <v>0</v>
      </c>
      <c r="B2548" s="1" t="s">
        <v>3</v>
      </c>
      <c r="C2548" s="1" t="s">
        <v>4</v>
      </c>
      <c r="D2548" s="1" t="s">
        <v>5</v>
      </c>
    </row>
    <row r="2549" spans="1:4" x14ac:dyDescent="0.25">
      <c r="A2549" s="1">
        <f t="shared" si="44"/>
        <v>0</v>
      </c>
      <c r="B2549" s="1" t="s">
        <v>20</v>
      </c>
      <c r="C2549" s="1">
        <v>115.2</v>
      </c>
      <c r="D2549" s="1">
        <v>3</v>
      </c>
    </row>
    <row r="2550" spans="1:4" x14ac:dyDescent="0.25">
      <c r="A2550" s="1">
        <f t="shared" si="44"/>
        <v>0</v>
      </c>
      <c r="B2550" s="1" t="s">
        <v>15</v>
      </c>
      <c r="C2550" s="1">
        <v>68</v>
      </c>
      <c r="D2550" s="1">
        <v>1</v>
      </c>
    </row>
    <row r="2551" spans="1:4" x14ac:dyDescent="0.25">
      <c r="A2551" s="1">
        <f t="shared" si="44"/>
        <v>0</v>
      </c>
      <c r="B2551" s="1" t="s">
        <v>21</v>
      </c>
      <c r="C2551" s="1">
        <v>109.6</v>
      </c>
      <c r="D2551" s="1">
        <v>2</v>
      </c>
    </row>
    <row r="2552" spans="1:4" x14ac:dyDescent="0.25">
      <c r="A2552" s="1">
        <f t="shared" si="44"/>
        <v>0</v>
      </c>
      <c r="B2552" s="1" t="s">
        <v>8</v>
      </c>
      <c r="C2552" s="1">
        <v>109.6</v>
      </c>
      <c r="D2552" s="1">
        <v>2</v>
      </c>
    </row>
    <row r="2553" spans="1:4" x14ac:dyDescent="0.25">
      <c r="A2553" s="1">
        <f t="shared" si="44"/>
        <v>0</v>
      </c>
      <c r="B2553" s="1" t="s">
        <v>57</v>
      </c>
      <c r="C2553" s="1">
        <v>40</v>
      </c>
      <c r="D2553" s="1">
        <v>1</v>
      </c>
    </row>
    <row r="2554" spans="1:4" x14ac:dyDescent="0.25">
      <c r="A2554" s="1">
        <f t="shared" si="44"/>
        <v>0</v>
      </c>
      <c r="B2554" s="1" t="s">
        <v>54</v>
      </c>
      <c r="C2554" s="1">
        <v>38.4</v>
      </c>
      <c r="D2554" s="1">
        <v>1</v>
      </c>
    </row>
    <row r="2555" spans="1:4" x14ac:dyDescent="0.25">
      <c r="A2555" s="1">
        <f t="shared" si="44"/>
        <v>0</v>
      </c>
      <c r="B2555" s="1" t="s">
        <v>30</v>
      </c>
      <c r="C2555" s="1">
        <v>15.99</v>
      </c>
      <c r="D2555" s="1">
        <v>1</v>
      </c>
    </row>
    <row r="2556" spans="1:4" x14ac:dyDescent="0.25">
      <c r="A2556" s="1">
        <f t="shared" si="44"/>
        <v>0</v>
      </c>
      <c r="B2556" s="1" t="s">
        <v>56</v>
      </c>
      <c r="C2556" s="1">
        <v>38.4</v>
      </c>
      <c r="D2556" s="1">
        <v>1</v>
      </c>
    </row>
    <row r="2557" spans="1:4" x14ac:dyDescent="0.25">
      <c r="A2557" s="1">
        <f t="shared" si="44"/>
        <v>0</v>
      </c>
      <c r="B2557" s="1" t="s">
        <v>16</v>
      </c>
      <c r="C2557" s="1">
        <v>35.200000000000003</v>
      </c>
      <c r="D2557" s="1">
        <v>1</v>
      </c>
    </row>
    <row r="2558" spans="1:4" x14ac:dyDescent="0.25">
      <c r="A2558" s="1">
        <f t="shared" si="44"/>
        <v>2558</v>
      </c>
      <c r="B2558" s="1" t="s">
        <v>180</v>
      </c>
    </row>
    <row r="2559" spans="1:4" x14ac:dyDescent="0.25">
      <c r="A2559" s="1">
        <f t="shared" si="44"/>
        <v>0</v>
      </c>
      <c r="B2559" s="1" t="s">
        <v>1</v>
      </c>
      <c r="C2559" s="1">
        <v>31</v>
      </c>
    </row>
    <row r="2560" spans="1:4" x14ac:dyDescent="0.25">
      <c r="A2560" s="1">
        <f t="shared" si="44"/>
        <v>0</v>
      </c>
      <c r="B2560" s="1" t="s">
        <v>2</v>
      </c>
      <c r="C2560" s="1">
        <v>1206.95</v>
      </c>
    </row>
    <row r="2561" spans="1:4" x14ac:dyDescent="0.25">
      <c r="A2561" s="1">
        <f t="shared" si="44"/>
        <v>0</v>
      </c>
      <c r="B2561" s="1" t="s">
        <v>3</v>
      </c>
      <c r="C2561" s="1" t="s">
        <v>4</v>
      </c>
      <c r="D2561" s="1" t="s">
        <v>5</v>
      </c>
    </row>
    <row r="2562" spans="1:4" x14ac:dyDescent="0.25">
      <c r="A2562" s="1">
        <f t="shared" ref="A2562:A2625" si="45">IF(COUNTIF($V$3:$Y$99, $B2562)&lt;&gt;0, ROW($B2562), 0)</f>
        <v>0</v>
      </c>
      <c r="B2562" s="1" t="s">
        <v>21</v>
      </c>
      <c r="C2562" s="1">
        <v>109.6</v>
      </c>
      <c r="D2562" s="1">
        <v>2</v>
      </c>
    </row>
    <row r="2563" spans="1:4" x14ac:dyDescent="0.25">
      <c r="A2563" s="1">
        <f t="shared" si="45"/>
        <v>0</v>
      </c>
      <c r="B2563" s="1" t="s">
        <v>50</v>
      </c>
      <c r="C2563" s="1">
        <v>42.5</v>
      </c>
      <c r="D2563" s="1">
        <v>1</v>
      </c>
    </row>
    <row r="2564" spans="1:4" x14ac:dyDescent="0.25">
      <c r="A2564" s="1">
        <f t="shared" si="45"/>
        <v>0</v>
      </c>
      <c r="B2564" s="1" t="s">
        <v>8</v>
      </c>
      <c r="C2564" s="1">
        <v>548</v>
      </c>
      <c r="D2564" s="1">
        <v>14</v>
      </c>
    </row>
    <row r="2565" spans="1:4" x14ac:dyDescent="0.25">
      <c r="A2565" s="1">
        <f t="shared" si="45"/>
        <v>0</v>
      </c>
      <c r="B2565" s="1" t="s">
        <v>20</v>
      </c>
      <c r="C2565" s="1">
        <v>38.4</v>
      </c>
      <c r="D2565" s="1">
        <v>1</v>
      </c>
    </row>
    <row r="2566" spans="1:4" x14ac:dyDescent="0.25">
      <c r="A2566" s="1">
        <f t="shared" si="45"/>
        <v>0</v>
      </c>
      <c r="B2566" s="1" t="s">
        <v>17</v>
      </c>
      <c r="C2566" s="1">
        <v>76.8</v>
      </c>
      <c r="D2566" s="1">
        <v>2</v>
      </c>
    </row>
    <row r="2567" spans="1:4" x14ac:dyDescent="0.25">
      <c r="A2567" s="1">
        <f t="shared" si="45"/>
        <v>0</v>
      </c>
      <c r="B2567" s="1" t="s">
        <v>53</v>
      </c>
      <c r="C2567" s="1">
        <v>28.75</v>
      </c>
      <c r="D2567" s="1">
        <v>1</v>
      </c>
    </row>
    <row r="2568" spans="1:4" x14ac:dyDescent="0.25">
      <c r="A2568" s="1">
        <f t="shared" si="45"/>
        <v>0</v>
      </c>
      <c r="B2568" s="1" t="s">
        <v>16</v>
      </c>
      <c r="C2568" s="1">
        <v>105.6</v>
      </c>
      <c r="D2568" s="1">
        <v>3</v>
      </c>
    </row>
    <row r="2569" spans="1:4" x14ac:dyDescent="0.25">
      <c r="A2569" s="1">
        <f t="shared" si="45"/>
        <v>0</v>
      </c>
      <c r="B2569" s="1" t="s">
        <v>49</v>
      </c>
      <c r="C2569" s="1">
        <v>40</v>
      </c>
      <c r="D2569" s="1">
        <v>1</v>
      </c>
    </row>
    <row r="2570" spans="1:4" x14ac:dyDescent="0.25">
      <c r="A2570" s="1">
        <f t="shared" si="45"/>
        <v>0</v>
      </c>
      <c r="B2570" s="1" t="s">
        <v>12</v>
      </c>
      <c r="C2570" s="1">
        <v>105</v>
      </c>
      <c r="D2570" s="1">
        <v>3</v>
      </c>
    </row>
    <row r="2571" spans="1:4" x14ac:dyDescent="0.25">
      <c r="A2571" s="1">
        <f t="shared" si="45"/>
        <v>0</v>
      </c>
      <c r="B2571" s="1" t="s">
        <v>19</v>
      </c>
      <c r="C2571" s="1">
        <v>28.75</v>
      </c>
      <c r="D2571" s="1">
        <v>1</v>
      </c>
    </row>
    <row r="2572" spans="1:4" x14ac:dyDescent="0.25">
      <c r="A2572" s="1">
        <f t="shared" si="45"/>
        <v>0</v>
      </c>
      <c r="B2572" s="1" t="s">
        <v>7</v>
      </c>
      <c r="C2572" s="1">
        <v>54.8</v>
      </c>
      <c r="D2572" s="1">
        <v>1</v>
      </c>
    </row>
    <row r="2573" spans="1:4" x14ac:dyDescent="0.25">
      <c r="A2573" s="1">
        <f t="shared" si="45"/>
        <v>0</v>
      </c>
      <c r="B2573" s="1" t="s">
        <v>41</v>
      </c>
      <c r="C2573" s="1">
        <v>28.75</v>
      </c>
      <c r="D2573" s="1">
        <v>1</v>
      </c>
    </row>
    <row r="2574" spans="1:4" x14ac:dyDescent="0.25">
      <c r="A2574" s="1">
        <f t="shared" si="45"/>
        <v>2574</v>
      </c>
      <c r="B2574" s="1" t="s">
        <v>181</v>
      </c>
    </row>
    <row r="2575" spans="1:4" x14ac:dyDescent="0.25">
      <c r="A2575" s="1">
        <f t="shared" si="45"/>
        <v>0</v>
      </c>
      <c r="B2575" s="1" t="s">
        <v>1</v>
      </c>
      <c r="C2575" s="1">
        <v>13</v>
      </c>
    </row>
    <row r="2576" spans="1:4" x14ac:dyDescent="0.25">
      <c r="A2576" s="1">
        <f t="shared" si="45"/>
        <v>0</v>
      </c>
      <c r="B2576" s="1" t="s">
        <v>2</v>
      </c>
      <c r="C2576" s="1">
        <v>535.29999999999995</v>
      </c>
    </row>
    <row r="2577" spans="1:4" x14ac:dyDescent="0.25">
      <c r="A2577" s="1">
        <f t="shared" si="45"/>
        <v>0</v>
      </c>
      <c r="B2577" s="1" t="s">
        <v>3</v>
      </c>
      <c r="C2577" s="1" t="s">
        <v>4</v>
      </c>
      <c r="D2577" s="1" t="s">
        <v>5</v>
      </c>
    </row>
    <row r="2578" spans="1:4" x14ac:dyDescent="0.25">
      <c r="A2578" s="1">
        <f t="shared" si="45"/>
        <v>0</v>
      </c>
      <c r="B2578" s="1" t="s">
        <v>17</v>
      </c>
      <c r="C2578" s="1">
        <v>76.8</v>
      </c>
      <c r="D2578" s="1">
        <v>2</v>
      </c>
    </row>
    <row r="2579" spans="1:4" x14ac:dyDescent="0.25">
      <c r="A2579" s="1">
        <f t="shared" si="45"/>
        <v>0</v>
      </c>
      <c r="B2579" s="1" t="s">
        <v>10</v>
      </c>
      <c r="C2579" s="1">
        <v>38.4</v>
      </c>
      <c r="D2579" s="1">
        <v>1</v>
      </c>
    </row>
    <row r="2580" spans="1:4" x14ac:dyDescent="0.25">
      <c r="A2580" s="1">
        <f t="shared" si="45"/>
        <v>0</v>
      </c>
      <c r="B2580" s="1" t="s">
        <v>12</v>
      </c>
      <c r="C2580" s="1">
        <v>105</v>
      </c>
      <c r="D2580" s="1">
        <v>3</v>
      </c>
    </row>
    <row r="2581" spans="1:4" x14ac:dyDescent="0.25">
      <c r="A2581" s="1">
        <f t="shared" si="45"/>
        <v>0</v>
      </c>
      <c r="B2581" s="1" t="s">
        <v>7</v>
      </c>
      <c r="C2581" s="1">
        <v>54.8</v>
      </c>
      <c r="D2581" s="1">
        <v>1</v>
      </c>
    </row>
    <row r="2582" spans="1:4" x14ac:dyDescent="0.25">
      <c r="A2582" s="1">
        <f t="shared" si="45"/>
        <v>0</v>
      </c>
      <c r="B2582" s="1" t="s">
        <v>41</v>
      </c>
      <c r="C2582" s="1">
        <v>28.75</v>
      </c>
      <c r="D2582" s="1">
        <v>1</v>
      </c>
    </row>
    <row r="2583" spans="1:4" x14ac:dyDescent="0.25">
      <c r="A2583" s="1">
        <f t="shared" si="45"/>
        <v>0</v>
      </c>
      <c r="B2583" s="1" t="s">
        <v>19</v>
      </c>
      <c r="C2583" s="1">
        <v>28.75</v>
      </c>
      <c r="D2583" s="1">
        <v>1</v>
      </c>
    </row>
    <row r="2584" spans="1:4" x14ac:dyDescent="0.25">
      <c r="A2584" s="1">
        <f t="shared" si="45"/>
        <v>0</v>
      </c>
      <c r="B2584" s="1" t="s">
        <v>8</v>
      </c>
      <c r="C2584" s="1">
        <v>164.4</v>
      </c>
      <c r="D2584" s="1">
        <v>3</v>
      </c>
    </row>
    <row r="2585" spans="1:4" x14ac:dyDescent="0.25">
      <c r="A2585" s="1">
        <f t="shared" si="45"/>
        <v>0</v>
      </c>
      <c r="B2585" s="1" t="s">
        <v>20</v>
      </c>
      <c r="C2585" s="1">
        <v>38.4</v>
      </c>
      <c r="D2585" s="1">
        <v>1</v>
      </c>
    </row>
    <row r="2586" spans="1:4" x14ac:dyDescent="0.25">
      <c r="A2586" s="1">
        <f t="shared" si="45"/>
        <v>2586</v>
      </c>
      <c r="B2586" s="1" t="s">
        <v>182</v>
      </c>
    </row>
    <row r="2587" spans="1:4" x14ac:dyDescent="0.25">
      <c r="A2587" s="1">
        <f t="shared" si="45"/>
        <v>0</v>
      </c>
      <c r="B2587" s="1" t="s">
        <v>1</v>
      </c>
      <c r="C2587" s="1">
        <v>29</v>
      </c>
    </row>
    <row r="2588" spans="1:4" x14ac:dyDescent="0.25">
      <c r="A2588" s="1">
        <f t="shared" si="45"/>
        <v>0</v>
      </c>
      <c r="B2588" s="1" t="s">
        <v>2</v>
      </c>
      <c r="C2588" s="1">
        <v>1190.3</v>
      </c>
    </row>
    <row r="2589" spans="1:4" x14ac:dyDescent="0.25">
      <c r="A2589" s="1">
        <f t="shared" si="45"/>
        <v>0</v>
      </c>
      <c r="B2589" s="1" t="s">
        <v>3</v>
      </c>
      <c r="C2589" s="1" t="s">
        <v>4</v>
      </c>
      <c r="D2589" s="1" t="s">
        <v>5</v>
      </c>
    </row>
    <row r="2590" spans="1:4" x14ac:dyDescent="0.25">
      <c r="A2590" s="1">
        <f t="shared" si="45"/>
        <v>0</v>
      </c>
      <c r="B2590" s="1" t="s">
        <v>21</v>
      </c>
      <c r="C2590" s="1">
        <v>54.8</v>
      </c>
      <c r="D2590" s="1">
        <v>1</v>
      </c>
    </row>
    <row r="2591" spans="1:4" x14ac:dyDescent="0.25">
      <c r="A2591" s="1">
        <f t="shared" si="45"/>
        <v>0</v>
      </c>
      <c r="B2591" s="1" t="s">
        <v>14</v>
      </c>
      <c r="C2591" s="1">
        <v>28.75</v>
      </c>
      <c r="D2591" s="1">
        <v>1</v>
      </c>
    </row>
    <row r="2592" spans="1:4" x14ac:dyDescent="0.25">
      <c r="A2592" s="1">
        <f t="shared" si="45"/>
        <v>0</v>
      </c>
      <c r="B2592" s="1" t="s">
        <v>16</v>
      </c>
      <c r="C2592" s="1">
        <v>35.200000000000003</v>
      </c>
      <c r="D2592" s="1">
        <v>1</v>
      </c>
    </row>
    <row r="2593" spans="1:4" x14ac:dyDescent="0.25">
      <c r="A2593" s="1">
        <f t="shared" si="45"/>
        <v>0</v>
      </c>
      <c r="B2593" s="1" t="s">
        <v>8</v>
      </c>
      <c r="C2593" s="1">
        <v>164.4</v>
      </c>
      <c r="D2593" s="1">
        <v>3</v>
      </c>
    </row>
    <row r="2594" spans="1:4" x14ac:dyDescent="0.25">
      <c r="A2594" s="1">
        <f t="shared" si="45"/>
        <v>0</v>
      </c>
      <c r="B2594" s="1" t="s">
        <v>20</v>
      </c>
      <c r="C2594" s="1">
        <v>230.4</v>
      </c>
      <c r="D2594" s="1">
        <v>7</v>
      </c>
    </row>
    <row r="2595" spans="1:4" x14ac:dyDescent="0.25">
      <c r="A2595" s="1">
        <f t="shared" si="45"/>
        <v>0</v>
      </c>
      <c r="B2595" s="1" t="s">
        <v>40</v>
      </c>
      <c r="C2595" s="1">
        <v>54.8</v>
      </c>
      <c r="D2595" s="1">
        <v>1</v>
      </c>
    </row>
    <row r="2596" spans="1:4" x14ac:dyDescent="0.25">
      <c r="A2596" s="1">
        <f t="shared" si="45"/>
        <v>0</v>
      </c>
      <c r="B2596" s="1" t="s">
        <v>10</v>
      </c>
      <c r="C2596" s="1">
        <v>38.4</v>
      </c>
      <c r="D2596" s="1">
        <v>1</v>
      </c>
    </row>
    <row r="2597" spans="1:4" x14ac:dyDescent="0.25">
      <c r="A2597" s="1">
        <f t="shared" si="45"/>
        <v>0</v>
      </c>
      <c r="B2597" s="1" t="s">
        <v>49</v>
      </c>
      <c r="C2597" s="1">
        <v>40</v>
      </c>
      <c r="D2597" s="1">
        <v>1</v>
      </c>
    </row>
    <row r="2598" spans="1:4" x14ac:dyDescent="0.25">
      <c r="A2598" s="1">
        <f t="shared" si="45"/>
        <v>0</v>
      </c>
      <c r="B2598" s="1" t="s">
        <v>18</v>
      </c>
      <c r="C2598" s="1">
        <v>115.2</v>
      </c>
      <c r="D2598" s="1">
        <v>3</v>
      </c>
    </row>
    <row r="2599" spans="1:4" x14ac:dyDescent="0.25">
      <c r="A2599" s="1">
        <f t="shared" si="45"/>
        <v>0</v>
      </c>
      <c r="B2599" s="1" t="s">
        <v>17</v>
      </c>
      <c r="C2599" s="1">
        <v>38.4</v>
      </c>
      <c r="D2599" s="1">
        <v>1</v>
      </c>
    </row>
    <row r="2600" spans="1:4" x14ac:dyDescent="0.25">
      <c r="A2600" s="1">
        <f t="shared" si="45"/>
        <v>0</v>
      </c>
      <c r="B2600" s="1" t="s">
        <v>53</v>
      </c>
      <c r="C2600" s="1">
        <v>28.75</v>
      </c>
      <c r="D2600" s="1">
        <v>1</v>
      </c>
    </row>
    <row r="2601" spans="1:4" x14ac:dyDescent="0.25">
      <c r="A2601" s="1">
        <f t="shared" si="45"/>
        <v>0</v>
      </c>
      <c r="B2601" s="1" t="s">
        <v>27</v>
      </c>
      <c r="C2601" s="1">
        <v>76.8</v>
      </c>
      <c r="D2601" s="1">
        <v>2</v>
      </c>
    </row>
    <row r="2602" spans="1:4" x14ac:dyDescent="0.25">
      <c r="A2602" s="1">
        <f t="shared" si="45"/>
        <v>0</v>
      </c>
      <c r="B2602" s="1" t="s">
        <v>12</v>
      </c>
      <c r="C2602" s="1">
        <v>70</v>
      </c>
      <c r="D2602" s="1">
        <v>2</v>
      </c>
    </row>
    <row r="2603" spans="1:4" x14ac:dyDescent="0.25">
      <c r="A2603" s="1">
        <f t="shared" si="45"/>
        <v>0</v>
      </c>
      <c r="B2603" s="1" t="s">
        <v>15</v>
      </c>
      <c r="C2603" s="1">
        <v>136</v>
      </c>
      <c r="D2603" s="1">
        <v>2</v>
      </c>
    </row>
    <row r="2604" spans="1:4" x14ac:dyDescent="0.25">
      <c r="A2604" s="1">
        <f t="shared" si="45"/>
        <v>0</v>
      </c>
      <c r="B2604" s="1" t="s">
        <v>44</v>
      </c>
      <c r="C2604" s="1">
        <v>38.4</v>
      </c>
      <c r="D2604" s="1">
        <v>1</v>
      </c>
    </row>
    <row r="2605" spans="1:4" x14ac:dyDescent="0.25">
      <c r="A2605" s="1">
        <f t="shared" si="45"/>
        <v>0</v>
      </c>
      <c r="B2605" s="1" t="s">
        <v>33</v>
      </c>
      <c r="C2605" s="1">
        <v>40</v>
      </c>
      <c r="D2605" s="1">
        <v>1</v>
      </c>
    </row>
    <row r="2606" spans="1:4" x14ac:dyDescent="0.25">
      <c r="A2606" s="1">
        <f t="shared" si="45"/>
        <v>2606</v>
      </c>
      <c r="B2606" s="1" t="s">
        <v>183</v>
      </c>
    </row>
    <row r="2607" spans="1:4" x14ac:dyDescent="0.25">
      <c r="A2607" s="1">
        <f t="shared" si="45"/>
        <v>0</v>
      </c>
      <c r="B2607" s="1" t="s">
        <v>1</v>
      </c>
      <c r="C2607" s="1">
        <v>24</v>
      </c>
    </row>
    <row r="2608" spans="1:4" x14ac:dyDescent="0.25">
      <c r="A2608" s="1">
        <f t="shared" si="45"/>
        <v>0</v>
      </c>
      <c r="B2608" s="1" t="s">
        <v>2</v>
      </c>
      <c r="C2608" s="1">
        <v>948.15</v>
      </c>
    </row>
    <row r="2609" spans="1:4" x14ac:dyDescent="0.25">
      <c r="A2609" s="1">
        <f t="shared" si="45"/>
        <v>0</v>
      </c>
      <c r="B2609" s="1" t="s">
        <v>3</v>
      </c>
      <c r="C2609" s="1" t="s">
        <v>4</v>
      </c>
      <c r="D2609" s="1" t="s">
        <v>5</v>
      </c>
    </row>
    <row r="2610" spans="1:4" x14ac:dyDescent="0.25">
      <c r="A2610" s="1">
        <f t="shared" si="45"/>
        <v>0</v>
      </c>
      <c r="B2610" s="1" t="s">
        <v>7</v>
      </c>
      <c r="C2610" s="1">
        <v>109.6</v>
      </c>
      <c r="D2610" s="1">
        <v>2</v>
      </c>
    </row>
    <row r="2611" spans="1:4" x14ac:dyDescent="0.25">
      <c r="A2611" s="1">
        <f t="shared" si="45"/>
        <v>0</v>
      </c>
      <c r="B2611" s="1" t="s">
        <v>40</v>
      </c>
      <c r="C2611" s="1">
        <v>54.8</v>
      </c>
      <c r="D2611" s="1">
        <v>1</v>
      </c>
    </row>
    <row r="2612" spans="1:4" x14ac:dyDescent="0.25">
      <c r="A2612" s="1">
        <f t="shared" si="45"/>
        <v>0</v>
      </c>
      <c r="B2612" s="1" t="s">
        <v>21</v>
      </c>
      <c r="C2612" s="1">
        <v>219.2</v>
      </c>
      <c r="D2612" s="1">
        <v>4</v>
      </c>
    </row>
    <row r="2613" spans="1:4" x14ac:dyDescent="0.25">
      <c r="A2613" s="1">
        <f t="shared" si="45"/>
        <v>0</v>
      </c>
      <c r="B2613" s="1" t="s">
        <v>64</v>
      </c>
      <c r="C2613" s="1">
        <v>38.4</v>
      </c>
      <c r="D2613" s="1">
        <v>2</v>
      </c>
    </row>
    <row r="2614" spans="1:4" x14ac:dyDescent="0.25">
      <c r="A2614" s="1">
        <f t="shared" si="45"/>
        <v>0</v>
      </c>
      <c r="B2614" s="1" t="s">
        <v>12</v>
      </c>
      <c r="C2614" s="1">
        <v>35</v>
      </c>
      <c r="D2614" s="1">
        <v>1</v>
      </c>
    </row>
    <row r="2615" spans="1:4" x14ac:dyDescent="0.25">
      <c r="A2615" s="1">
        <f t="shared" si="45"/>
        <v>0</v>
      </c>
      <c r="B2615" s="1" t="s">
        <v>13</v>
      </c>
      <c r="C2615" s="1">
        <v>38.4</v>
      </c>
      <c r="D2615" s="1">
        <v>1</v>
      </c>
    </row>
    <row r="2616" spans="1:4" x14ac:dyDescent="0.25">
      <c r="A2616" s="1">
        <f t="shared" si="45"/>
        <v>0</v>
      </c>
      <c r="B2616" s="1" t="s">
        <v>32</v>
      </c>
      <c r="C2616" s="1">
        <v>38.4</v>
      </c>
      <c r="D2616" s="1">
        <v>1</v>
      </c>
    </row>
    <row r="2617" spans="1:4" x14ac:dyDescent="0.25">
      <c r="A2617" s="1">
        <f t="shared" si="45"/>
        <v>0</v>
      </c>
      <c r="B2617" s="1" t="s">
        <v>54</v>
      </c>
      <c r="C2617" s="1">
        <v>38.4</v>
      </c>
      <c r="D2617" s="1">
        <v>1</v>
      </c>
    </row>
    <row r="2618" spans="1:4" x14ac:dyDescent="0.25">
      <c r="A2618" s="1">
        <f t="shared" si="45"/>
        <v>0</v>
      </c>
      <c r="B2618" s="1" t="s">
        <v>18</v>
      </c>
      <c r="C2618" s="1">
        <v>38.4</v>
      </c>
      <c r="D2618" s="1">
        <v>1</v>
      </c>
    </row>
    <row r="2619" spans="1:4" x14ac:dyDescent="0.25">
      <c r="A2619" s="1">
        <f t="shared" si="45"/>
        <v>0</v>
      </c>
      <c r="B2619" s="1" t="s">
        <v>49</v>
      </c>
      <c r="C2619" s="1">
        <v>40</v>
      </c>
      <c r="D2619" s="1">
        <v>1</v>
      </c>
    </row>
    <row r="2620" spans="1:4" x14ac:dyDescent="0.25">
      <c r="A2620" s="1">
        <f t="shared" si="45"/>
        <v>0</v>
      </c>
      <c r="B2620" s="1" t="s">
        <v>17</v>
      </c>
      <c r="C2620" s="1">
        <v>76.8</v>
      </c>
      <c r="D2620" s="1">
        <v>2</v>
      </c>
    </row>
    <row r="2621" spans="1:4" x14ac:dyDescent="0.25">
      <c r="A2621" s="1">
        <f t="shared" si="45"/>
        <v>0</v>
      </c>
      <c r="B2621" s="1" t="s">
        <v>56</v>
      </c>
      <c r="C2621" s="1">
        <v>38.4</v>
      </c>
      <c r="D2621" s="1">
        <v>1</v>
      </c>
    </row>
    <row r="2622" spans="1:4" x14ac:dyDescent="0.25">
      <c r="A2622" s="1">
        <f t="shared" si="45"/>
        <v>0</v>
      </c>
      <c r="B2622" s="1" t="s">
        <v>36</v>
      </c>
      <c r="C2622" s="1">
        <v>38.4</v>
      </c>
      <c r="D2622" s="1">
        <v>1</v>
      </c>
    </row>
    <row r="2623" spans="1:4" x14ac:dyDescent="0.25">
      <c r="A2623" s="1">
        <f t="shared" si="45"/>
        <v>0</v>
      </c>
      <c r="B2623" s="1" t="s">
        <v>20</v>
      </c>
      <c r="C2623" s="1">
        <v>76.8</v>
      </c>
      <c r="D2623" s="1">
        <v>2</v>
      </c>
    </row>
    <row r="2624" spans="1:4" x14ac:dyDescent="0.25">
      <c r="A2624" s="1">
        <f t="shared" si="45"/>
        <v>0</v>
      </c>
      <c r="B2624" s="1" t="s">
        <v>41</v>
      </c>
      <c r="C2624" s="1">
        <v>28.75</v>
      </c>
      <c r="D2624" s="1">
        <v>1</v>
      </c>
    </row>
    <row r="2625" spans="1:4" x14ac:dyDescent="0.25">
      <c r="A2625" s="1">
        <f t="shared" si="45"/>
        <v>0</v>
      </c>
      <c r="B2625" s="1" t="s">
        <v>9</v>
      </c>
      <c r="C2625" s="1">
        <v>38.4</v>
      </c>
      <c r="D2625" s="1">
        <v>2</v>
      </c>
    </row>
    <row r="2626" spans="1:4" x14ac:dyDescent="0.25">
      <c r="A2626" s="1">
        <f t="shared" ref="A2626:A2689" si="46">IF(COUNTIF($V$3:$Y$99, $B2626)&lt;&gt;0, ROW($B2626), 0)</f>
        <v>2626</v>
      </c>
      <c r="B2626" s="1" t="s">
        <v>184</v>
      </c>
    </row>
    <row r="2627" spans="1:4" x14ac:dyDescent="0.25">
      <c r="A2627" s="1">
        <f t="shared" si="46"/>
        <v>0</v>
      </c>
      <c r="B2627" s="1" t="s">
        <v>1</v>
      </c>
      <c r="C2627" s="1">
        <v>25</v>
      </c>
    </row>
    <row r="2628" spans="1:4" x14ac:dyDescent="0.25">
      <c r="A2628" s="1">
        <f t="shared" si="46"/>
        <v>0</v>
      </c>
      <c r="B2628" s="1" t="s">
        <v>2</v>
      </c>
      <c r="C2628" s="1">
        <v>1021.6</v>
      </c>
    </row>
    <row r="2629" spans="1:4" x14ac:dyDescent="0.25">
      <c r="A2629" s="1">
        <f t="shared" si="46"/>
        <v>0</v>
      </c>
      <c r="B2629" s="1" t="s">
        <v>3</v>
      </c>
      <c r="C2629" s="1" t="s">
        <v>4</v>
      </c>
      <c r="D2629" s="1" t="s">
        <v>5</v>
      </c>
    </row>
    <row r="2630" spans="1:4" x14ac:dyDescent="0.25">
      <c r="A2630" s="1">
        <f t="shared" si="46"/>
        <v>0</v>
      </c>
      <c r="B2630" s="1" t="s">
        <v>7</v>
      </c>
      <c r="C2630" s="1">
        <v>109.6</v>
      </c>
      <c r="D2630" s="1">
        <v>2</v>
      </c>
    </row>
    <row r="2631" spans="1:4" x14ac:dyDescent="0.25">
      <c r="A2631" s="1">
        <f t="shared" si="46"/>
        <v>0</v>
      </c>
      <c r="B2631" s="1" t="s">
        <v>10</v>
      </c>
      <c r="C2631" s="1">
        <v>38.4</v>
      </c>
      <c r="D2631" s="1">
        <v>1</v>
      </c>
    </row>
    <row r="2632" spans="1:4" x14ac:dyDescent="0.25">
      <c r="A2632" s="1">
        <f t="shared" si="46"/>
        <v>0</v>
      </c>
      <c r="B2632" s="1" t="s">
        <v>20</v>
      </c>
      <c r="C2632" s="1">
        <v>192</v>
      </c>
      <c r="D2632" s="1">
        <v>5</v>
      </c>
    </row>
    <row r="2633" spans="1:4" x14ac:dyDescent="0.25">
      <c r="A2633" s="1">
        <f t="shared" si="46"/>
        <v>0</v>
      </c>
      <c r="B2633" s="1" t="s">
        <v>17</v>
      </c>
      <c r="C2633" s="1">
        <v>115.2</v>
      </c>
      <c r="D2633" s="1">
        <v>3</v>
      </c>
    </row>
    <row r="2634" spans="1:4" x14ac:dyDescent="0.25">
      <c r="A2634" s="1">
        <f t="shared" si="46"/>
        <v>0</v>
      </c>
      <c r="B2634" s="1" t="s">
        <v>27</v>
      </c>
      <c r="C2634" s="1">
        <v>153.6</v>
      </c>
      <c r="D2634" s="1">
        <v>5</v>
      </c>
    </row>
    <row r="2635" spans="1:4" x14ac:dyDescent="0.25">
      <c r="A2635" s="1">
        <f t="shared" si="46"/>
        <v>0</v>
      </c>
      <c r="B2635" s="1" t="s">
        <v>13</v>
      </c>
      <c r="C2635" s="1">
        <v>38.4</v>
      </c>
      <c r="D2635" s="1">
        <v>1</v>
      </c>
    </row>
    <row r="2636" spans="1:4" x14ac:dyDescent="0.25">
      <c r="A2636" s="1">
        <f t="shared" si="46"/>
        <v>0</v>
      </c>
      <c r="B2636" s="1" t="s">
        <v>18</v>
      </c>
      <c r="C2636" s="1">
        <v>76.8</v>
      </c>
      <c r="D2636" s="1">
        <v>2</v>
      </c>
    </row>
    <row r="2637" spans="1:4" x14ac:dyDescent="0.25">
      <c r="A2637" s="1">
        <f t="shared" si="46"/>
        <v>0</v>
      </c>
      <c r="B2637" s="1" t="s">
        <v>42</v>
      </c>
      <c r="C2637" s="1">
        <v>40</v>
      </c>
      <c r="D2637" s="1">
        <v>1</v>
      </c>
    </row>
    <row r="2638" spans="1:4" x14ac:dyDescent="0.25">
      <c r="A2638" s="1">
        <f t="shared" si="46"/>
        <v>0</v>
      </c>
      <c r="B2638" s="1" t="s">
        <v>44</v>
      </c>
      <c r="C2638" s="1">
        <v>38.4</v>
      </c>
      <c r="D2638" s="1">
        <v>1</v>
      </c>
    </row>
    <row r="2639" spans="1:4" x14ac:dyDescent="0.25">
      <c r="A2639" s="1">
        <f t="shared" si="46"/>
        <v>0</v>
      </c>
      <c r="B2639" s="1" t="s">
        <v>21</v>
      </c>
      <c r="C2639" s="1">
        <v>219.2</v>
      </c>
      <c r="D2639" s="1">
        <v>4</v>
      </c>
    </row>
    <row r="2640" spans="1:4" x14ac:dyDescent="0.25">
      <c r="A2640" s="1">
        <f t="shared" si="46"/>
        <v>2640</v>
      </c>
      <c r="B2640" s="1" t="s">
        <v>185</v>
      </c>
    </row>
    <row r="2641" spans="1:4" x14ac:dyDescent="0.25">
      <c r="A2641" s="1">
        <f t="shared" si="46"/>
        <v>0</v>
      </c>
      <c r="B2641" s="1" t="s">
        <v>1</v>
      </c>
      <c r="C2641" s="1">
        <v>30</v>
      </c>
    </row>
    <row r="2642" spans="1:4" x14ac:dyDescent="0.25">
      <c r="A2642" s="1">
        <f t="shared" si="46"/>
        <v>0</v>
      </c>
      <c r="B2642" s="1" t="s">
        <v>2</v>
      </c>
      <c r="C2642" s="1">
        <v>1228.04</v>
      </c>
    </row>
    <row r="2643" spans="1:4" x14ac:dyDescent="0.25">
      <c r="A2643" s="1">
        <f t="shared" si="46"/>
        <v>0</v>
      </c>
      <c r="B2643" s="1" t="s">
        <v>3</v>
      </c>
      <c r="C2643" s="1" t="s">
        <v>4</v>
      </c>
      <c r="D2643" s="1" t="s">
        <v>5</v>
      </c>
    </row>
    <row r="2644" spans="1:4" x14ac:dyDescent="0.25">
      <c r="A2644" s="1">
        <f t="shared" si="46"/>
        <v>0</v>
      </c>
      <c r="B2644" s="1" t="s">
        <v>8</v>
      </c>
      <c r="C2644" s="1">
        <v>274</v>
      </c>
      <c r="D2644" s="1">
        <v>5</v>
      </c>
    </row>
    <row r="2645" spans="1:4" x14ac:dyDescent="0.25">
      <c r="A2645" s="1">
        <f t="shared" si="46"/>
        <v>0</v>
      </c>
      <c r="B2645" s="1" t="s">
        <v>22</v>
      </c>
      <c r="C2645" s="1">
        <v>54.8</v>
      </c>
      <c r="D2645" s="1">
        <v>1</v>
      </c>
    </row>
    <row r="2646" spans="1:4" x14ac:dyDescent="0.25">
      <c r="A2646" s="1">
        <f t="shared" si="46"/>
        <v>0</v>
      </c>
      <c r="B2646" s="1" t="s">
        <v>14</v>
      </c>
      <c r="C2646" s="1">
        <v>28.75</v>
      </c>
      <c r="D2646" s="1">
        <v>1</v>
      </c>
    </row>
    <row r="2647" spans="1:4" x14ac:dyDescent="0.25">
      <c r="A2647" s="1">
        <f t="shared" si="46"/>
        <v>0</v>
      </c>
      <c r="B2647" s="1" t="s">
        <v>20</v>
      </c>
      <c r="C2647" s="1">
        <v>460.8</v>
      </c>
      <c r="D2647" s="1">
        <v>13</v>
      </c>
    </row>
    <row r="2648" spans="1:4" x14ac:dyDescent="0.25">
      <c r="A2648" s="1">
        <f t="shared" si="46"/>
        <v>0</v>
      </c>
      <c r="B2648" s="1" t="s">
        <v>18</v>
      </c>
      <c r="C2648" s="1">
        <v>76.8</v>
      </c>
      <c r="D2648" s="1">
        <v>2</v>
      </c>
    </row>
    <row r="2649" spans="1:4" x14ac:dyDescent="0.25">
      <c r="A2649" s="1">
        <f t="shared" si="46"/>
        <v>0</v>
      </c>
      <c r="B2649" s="1" t="s">
        <v>40</v>
      </c>
      <c r="C2649" s="1">
        <v>54.8</v>
      </c>
      <c r="D2649" s="1">
        <v>1</v>
      </c>
    </row>
    <row r="2650" spans="1:4" x14ac:dyDescent="0.25">
      <c r="A2650" s="1">
        <f t="shared" si="46"/>
        <v>0</v>
      </c>
      <c r="B2650" s="1" t="s">
        <v>12</v>
      </c>
      <c r="C2650" s="1">
        <v>70</v>
      </c>
      <c r="D2650" s="1">
        <v>2</v>
      </c>
    </row>
    <row r="2651" spans="1:4" x14ac:dyDescent="0.25">
      <c r="A2651" s="1">
        <f t="shared" si="46"/>
        <v>0</v>
      </c>
      <c r="B2651" s="1" t="s">
        <v>50</v>
      </c>
      <c r="C2651" s="1">
        <v>42.5</v>
      </c>
      <c r="D2651" s="1">
        <v>1</v>
      </c>
    </row>
    <row r="2652" spans="1:4" x14ac:dyDescent="0.25">
      <c r="A2652" s="1">
        <f t="shared" si="46"/>
        <v>0</v>
      </c>
      <c r="B2652" s="1" t="s">
        <v>6</v>
      </c>
      <c r="C2652" s="1">
        <v>54.8</v>
      </c>
      <c r="D2652" s="1">
        <v>1</v>
      </c>
    </row>
    <row r="2653" spans="1:4" x14ac:dyDescent="0.25">
      <c r="A2653" s="1">
        <f t="shared" si="46"/>
        <v>0</v>
      </c>
      <c r="B2653" s="1" t="s">
        <v>7</v>
      </c>
      <c r="C2653" s="1">
        <v>54.8</v>
      </c>
      <c r="D2653" s="1">
        <v>1</v>
      </c>
    </row>
    <row r="2654" spans="1:4" x14ac:dyDescent="0.25">
      <c r="A2654" s="1">
        <f t="shared" si="46"/>
        <v>0</v>
      </c>
      <c r="B2654" s="1" t="s">
        <v>30</v>
      </c>
      <c r="C2654" s="1">
        <v>15.99</v>
      </c>
      <c r="D2654" s="1">
        <v>1</v>
      </c>
    </row>
    <row r="2655" spans="1:4" x14ac:dyDescent="0.25">
      <c r="A2655" s="1">
        <f t="shared" si="46"/>
        <v>0</v>
      </c>
      <c r="B2655" s="1" t="s">
        <v>33</v>
      </c>
      <c r="C2655" s="1">
        <v>40</v>
      </c>
      <c r="D2655" s="1">
        <v>1</v>
      </c>
    </row>
    <row r="2656" spans="1:4" x14ac:dyDescent="0.25">
      <c r="A2656" s="1">
        <f t="shared" si="46"/>
        <v>2656</v>
      </c>
      <c r="B2656" s="1" t="s">
        <v>186</v>
      </c>
    </row>
    <row r="2657" spans="1:4" x14ac:dyDescent="0.25">
      <c r="A2657" s="1">
        <f t="shared" si="46"/>
        <v>0</v>
      </c>
      <c r="B2657" s="1" t="s">
        <v>1</v>
      </c>
      <c r="C2657" s="1">
        <v>30</v>
      </c>
    </row>
    <row r="2658" spans="1:4" x14ac:dyDescent="0.25">
      <c r="A2658" s="1">
        <f t="shared" si="46"/>
        <v>0</v>
      </c>
      <c r="B2658" s="1" t="s">
        <v>2</v>
      </c>
      <c r="C2658" s="1">
        <v>1300.55</v>
      </c>
    </row>
    <row r="2659" spans="1:4" x14ac:dyDescent="0.25">
      <c r="A2659" s="1">
        <f t="shared" si="46"/>
        <v>0</v>
      </c>
      <c r="B2659" s="1" t="s">
        <v>3</v>
      </c>
      <c r="C2659" s="1" t="s">
        <v>4</v>
      </c>
      <c r="D2659" s="1" t="s">
        <v>5</v>
      </c>
    </row>
    <row r="2660" spans="1:4" x14ac:dyDescent="0.25">
      <c r="A2660" s="1">
        <f t="shared" si="46"/>
        <v>0</v>
      </c>
      <c r="B2660" s="1" t="s">
        <v>17</v>
      </c>
      <c r="C2660" s="1">
        <v>115.2</v>
      </c>
      <c r="D2660" s="1">
        <v>3</v>
      </c>
    </row>
    <row r="2661" spans="1:4" x14ac:dyDescent="0.25">
      <c r="A2661" s="1">
        <f t="shared" si="46"/>
        <v>0</v>
      </c>
      <c r="B2661" s="1" t="s">
        <v>51</v>
      </c>
      <c r="C2661" s="1">
        <v>38.4</v>
      </c>
      <c r="D2661" s="1">
        <v>1</v>
      </c>
    </row>
    <row r="2662" spans="1:4" x14ac:dyDescent="0.25">
      <c r="A2662" s="1">
        <f t="shared" si="46"/>
        <v>0</v>
      </c>
      <c r="B2662" s="1" t="s">
        <v>8</v>
      </c>
      <c r="C2662" s="1">
        <v>54.8</v>
      </c>
      <c r="D2662" s="1">
        <v>1</v>
      </c>
    </row>
    <row r="2663" spans="1:4" x14ac:dyDescent="0.25">
      <c r="A2663" s="1">
        <f t="shared" si="46"/>
        <v>0</v>
      </c>
      <c r="B2663" s="1" t="s">
        <v>18</v>
      </c>
      <c r="C2663" s="1">
        <v>115.2</v>
      </c>
      <c r="D2663" s="1">
        <v>3</v>
      </c>
    </row>
    <row r="2664" spans="1:4" x14ac:dyDescent="0.25">
      <c r="A2664" s="1">
        <f t="shared" si="46"/>
        <v>0</v>
      </c>
      <c r="B2664" s="1" t="s">
        <v>20</v>
      </c>
      <c r="C2664" s="1">
        <v>38.4</v>
      </c>
      <c r="D2664" s="1">
        <v>1</v>
      </c>
    </row>
    <row r="2665" spans="1:4" x14ac:dyDescent="0.25">
      <c r="A2665" s="1">
        <f t="shared" si="46"/>
        <v>0</v>
      </c>
      <c r="B2665" s="1" t="s">
        <v>32</v>
      </c>
      <c r="C2665" s="1">
        <v>38.4</v>
      </c>
      <c r="D2665" s="1">
        <v>1</v>
      </c>
    </row>
    <row r="2666" spans="1:4" x14ac:dyDescent="0.25">
      <c r="A2666" s="1">
        <f t="shared" si="46"/>
        <v>0</v>
      </c>
      <c r="B2666" s="1" t="s">
        <v>7</v>
      </c>
      <c r="C2666" s="1">
        <v>54.8</v>
      </c>
      <c r="D2666" s="1">
        <v>1</v>
      </c>
    </row>
    <row r="2667" spans="1:4" x14ac:dyDescent="0.25">
      <c r="A2667" s="1">
        <f t="shared" si="46"/>
        <v>0</v>
      </c>
      <c r="B2667" s="1" t="s">
        <v>12</v>
      </c>
      <c r="C2667" s="1">
        <v>175</v>
      </c>
      <c r="D2667" s="1">
        <v>5</v>
      </c>
    </row>
    <row r="2668" spans="1:4" x14ac:dyDescent="0.25">
      <c r="A2668" s="1">
        <f t="shared" si="46"/>
        <v>0</v>
      </c>
      <c r="B2668" s="1" t="s">
        <v>40</v>
      </c>
      <c r="C2668" s="1">
        <v>109.6</v>
      </c>
      <c r="D2668" s="1">
        <v>2</v>
      </c>
    </row>
    <row r="2669" spans="1:4" x14ac:dyDescent="0.25">
      <c r="A2669" s="1">
        <f t="shared" si="46"/>
        <v>0</v>
      </c>
      <c r="B2669" s="1" t="s">
        <v>15</v>
      </c>
      <c r="C2669" s="1">
        <v>340</v>
      </c>
      <c r="D2669" s="1">
        <v>6</v>
      </c>
    </row>
    <row r="2670" spans="1:4" x14ac:dyDescent="0.25">
      <c r="A2670" s="1">
        <f t="shared" si="46"/>
        <v>0</v>
      </c>
      <c r="B2670" s="1" t="s">
        <v>33</v>
      </c>
      <c r="C2670" s="1">
        <v>80</v>
      </c>
      <c r="D2670" s="1">
        <v>2</v>
      </c>
    </row>
    <row r="2671" spans="1:4" x14ac:dyDescent="0.25">
      <c r="A2671" s="1">
        <f t="shared" si="46"/>
        <v>0</v>
      </c>
      <c r="B2671" s="1" t="s">
        <v>16</v>
      </c>
      <c r="C2671" s="1">
        <v>35.200000000000003</v>
      </c>
      <c r="D2671" s="1">
        <v>1</v>
      </c>
    </row>
    <row r="2672" spans="1:4" x14ac:dyDescent="0.25">
      <c r="A2672" s="1">
        <f t="shared" si="46"/>
        <v>0</v>
      </c>
      <c r="B2672" s="1" t="s">
        <v>19</v>
      </c>
      <c r="C2672" s="1">
        <v>28.75</v>
      </c>
      <c r="D2672" s="1">
        <v>1</v>
      </c>
    </row>
    <row r="2673" spans="1:4" x14ac:dyDescent="0.25">
      <c r="A2673" s="1">
        <f t="shared" si="46"/>
        <v>0</v>
      </c>
      <c r="B2673" s="1" t="s">
        <v>44</v>
      </c>
      <c r="C2673" s="1">
        <v>76.8</v>
      </c>
      <c r="D2673" s="1">
        <v>2</v>
      </c>
    </row>
    <row r="2674" spans="1:4" x14ac:dyDescent="0.25">
      <c r="A2674" s="1">
        <f t="shared" si="46"/>
        <v>2674</v>
      </c>
      <c r="B2674" s="1" t="s">
        <v>187</v>
      </c>
    </row>
    <row r="2675" spans="1:4" x14ac:dyDescent="0.25">
      <c r="A2675" s="1">
        <f t="shared" si="46"/>
        <v>0</v>
      </c>
      <c r="B2675" s="1" t="s">
        <v>1</v>
      </c>
      <c r="C2675" s="1">
        <v>6</v>
      </c>
    </row>
    <row r="2676" spans="1:4" x14ac:dyDescent="0.25">
      <c r="A2676" s="1">
        <f t="shared" si="46"/>
        <v>0</v>
      </c>
      <c r="B2676" s="1" t="s">
        <v>2</v>
      </c>
      <c r="C2676" s="1">
        <v>264.8</v>
      </c>
    </row>
    <row r="2677" spans="1:4" x14ac:dyDescent="0.25">
      <c r="A2677" s="1">
        <f t="shared" si="46"/>
        <v>0</v>
      </c>
      <c r="B2677" s="1" t="s">
        <v>3</v>
      </c>
      <c r="C2677" s="1" t="s">
        <v>4</v>
      </c>
      <c r="D2677" s="1" t="s">
        <v>5</v>
      </c>
    </row>
    <row r="2678" spans="1:4" x14ac:dyDescent="0.25">
      <c r="A2678" s="1">
        <f t="shared" si="46"/>
        <v>0</v>
      </c>
      <c r="B2678" s="1" t="s">
        <v>32</v>
      </c>
      <c r="C2678" s="1">
        <v>38.4</v>
      </c>
      <c r="D2678" s="1">
        <v>1</v>
      </c>
    </row>
    <row r="2679" spans="1:4" x14ac:dyDescent="0.25">
      <c r="A2679" s="1">
        <f t="shared" si="46"/>
        <v>0</v>
      </c>
      <c r="B2679" s="1" t="s">
        <v>49</v>
      </c>
      <c r="C2679" s="1">
        <v>40</v>
      </c>
      <c r="D2679" s="1">
        <v>1</v>
      </c>
    </row>
    <row r="2680" spans="1:4" x14ac:dyDescent="0.25">
      <c r="A2680" s="1">
        <f t="shared" si="46"/>
        <v>0</v>
      </c>
      <c r="B2680" s="1" t="s">
        <v>20</v>
      </c>
      <c r="C2680" s="1">
        <v>76.8</v>
      </c>
      <c r="D2680" s="1">
        <v>2</v>
      </c>
    </row>
    <row r="2681" spans="1:4" x14ac:dyDescent="0.25">
      <c r="A2681" s="1">
        <f t="shared" si="46"/>
        <v>0</v>
      </c>
      <c r="B2681" s="1" t="s">
        <v>8</v>
      </c>
      <c r="C2681" s="1">
        <v>109.6</v>
      </c>
      <c r="D2681" s="1">
        <v>2</v>
      </c>
    </row>
    <row r="2682" spans="1:4" x14ac:dyDescent="0.25">
      <c r="A2682" s="1">
        <f t="shared" si="46"/>
        <v>2682</v>
      </c>
      <c r="B2682" s="1" t="s">
        <v>188</v>
      </c>
    </row>
    <row r="2683" spans="1:4" x14ac:dyDescent="0.25">
      <c r="A2683" s="1">
        <f t="shared" si="46"/>
        <v>0</v>
      </c>
      <c r="B2683" s="1" t="s">
        <v>1</v>
      </c>
      <c r="C2683" s="1">
        <v>16</v>
      </c>
    </row>
    <row r="2684" spans="1:4" x14ac:dyDescent="0.25">
      <c r="A2684" s="1">
        <f t="shared" si="46"/>
        <v>0</v>
      </c>
      <c r="B2684" s="1" t="s">
        <v>2</v>
      </c>
      <c r="C2684" s="1">
        <v>621.79999999999995</v>
      </c>
    </row>
    <row r="2685" spans="1:4" x14ac:dyDescent="0.25">
      <c r="A2685" s="1">
        <f t="shared" si="46"/>
        <v>0</v>
      </c>
      <c r="B2685" s="1" t="s">
        <v>3</v>
      </c>
      <c r="C2685" s="1" t="s">
        <v>4</v>
      </c>
      <c r="D2685" s="1" t="s">
        <v>5</v>
      </c>
    </row>
    <row r="2686" spans="1:4" x14ac:dyDescent="0.25">
      <c r="A2686" s="1">
        <f t="shared" si="46"/>
        <v>0</v>
      </c>
      <c r="B2686" s="1" t="s">
        <v>12</v>
      </c>
      <c r="C2686" s="1">
        <v>35</v>
      </c>
      <c r="D2686" s="1">
        <v>1</v>
      </c>
    </row>
    <row r="2687" spans="1:4" x14ac:dyDescent="0.25">
      <c r="A2687" s="1">
        <f t="shared" si="46"/>
        <v>0</v>
      </c>
      <c r="B2687" s="1" t="s">
        <v>18</v>
      </c>
      <c r="C2687" s="1">
        <v>115.2</v>
      </c>
      <c r="D2687" s="1">
        <v>3</v>
      </c>
    </row>
    <row r="2688" spans="1:4" x14ac:dyDescent="0.25">
      <c r="A2688" s="1">
        <f t="shared" si="46"/>
        <v>0</v>
      </c>
      <c r="B2688" s="1" t="s">
        <v>32</v>
      </c>
      <c r="C2688" s="1">
        <v>76.8</v>
      </c>
      <c r="D2688" s="1">
        <v>2</v>
      </c>
    </row>
    <row r="2689" spans="1:4" x14ac:dyDescent="0.25">
      <c r="A2689" s="1">
        <f t="shared" si="46"/>
        <v>0</v>
      </c>
      <c r="B2689" s="1" t="s">
        <v>51</v>
      </c>
      <c r="C2689" s="1">
        <v>38.4</v>
      </c>
      <c r="D2689" s="1">
        <v>1</v>
      </c>
    </row>
    <row r="2690" spans="1:4" x14ac:dyDescent="0.25">
      <c r="A2690" s="1">
        <f t="shared" ref="A2690:A2721" si="47">IF(COUNTIF($V$3:$Y$99, $B2690)&lt;&gt;0, ROW($B2690), 0)</f>
        <v>0</v>
      </c>
      <c r="B2690" s="1" t="s">
        <v>6</v>
      </c>
      <c r="C2690" s="1">
        <v>54.8</v>
      </c>
      <c r="D2690" s="1">
        <v>1</v>
      </c>
    </row>
    <row r="2691" spans="1:4" x14ac:dyDescent="0.25">
      <c r="A2691" s="1">
        <f t="shared" si="47"/>
        <v>0</v>
      </c>
      <c r="B2691" s="1" t="s">
        <v>10</v>
      </c>
      <c r="C2691" s="1">
        <v>38.4</v>
      </c>
      <c r="D2691" s="1">
        <v>1</v>
      </c>
    </row>
    <row r="2692" spans="1:4" x14ac:dyDescent="0.25">
      <c r="A2692" s="1">
        <f t="shared" si="47"/>
        <v>0</v>
      </c>
      <c r="B2692" s="1" t="s">
        <v>20</v>
      </c>
      <c r="C2692" s="1">
        <v>153.6</v>
      </c>
      <c r="D2692" s="1">
        <v>4</v>
      </c>
    </row>
    <row r="2693" spans="1:4" x14ac:dyDescent="0.25">
      <c r="A2693" s="1">
        <f t="shared" si="47"/>
        <v>0</v>
      </c>
      <c r="B2693" s="1" t="s">
        <v>22</v>
      </c>
      <c r="C2693" s="1">
        <v>54.8</v>
      </c>
      <c r="D2693" s="1">
        <v>2</v>
      </c>
    </row>
    <row r="2694" spans="1:4" x14ac:dyDescent="0.25">
      <c r="A2694" s="1">
        <f t="shared" si="47"/>
        <v>0</v>
      </c>
      <c r="B2694" s="1" t="s">
        <v>21</v>
      </c>
      <c r="C2694" s="1">
        <v>54.8</v>
      </c>
      <c r="D2694" s="1">
        <v>1</v>
      </c>
    </row>
    <row r="2695" spans="1:4" x14ac:dyDescent="0.25">
      <c r="A2695" s="1">
        <f t="shared" si="47"/>
        <v>0</v>
      </c>
      <c r="B2695" s="1" t="s">
        <v>189</v>
      </c>
    </row>
    <row r="2696" spans="1:4" x14ac:dyDescent="0.25">
      <c r="A2696" s="1">
        <f t="shared" si="47"/>
        <v>0</v>
      </c>
      <c r="B2696" s="1" t="s">
        <v>1</v>
      </c>
      <c r="C2696" s="1">
        <v>1</v>
      </c>
    </row>
    <row r="2697" spans="1:4" x14ac:dyDescent="0.25">
      <c r="A2697" s="1">
        <f t="shared" si="47"/>
        <v>0</v>
      </c>
      <c r="B2697" s="1" t="s">
        <v>2</v>
      </c>
      <c r="C2697" s="1">
        <v>54.8</v>
      </c>
    </row>
    <row r="2698" spans="1:4" x14ac:dyDescent="0.25">
      <c r="A2698" s="1">
        <f t="shared" si="47"/>
        <v>0</v>
      </c>
      <c r="B2698" s="1" t="s">
        <v>3</v>
      </c>
      <c r="C2698" s="1" t="s">
        <v>4</v>
      </c>
      <c r="D2698" s="1" t="s">
        <v>5</v>
      </c>
    </row>
    <row r="2699" spans="1:4" x14ac:dyDescent="0.25">
      <c r="A2699" s="1">
        <f t="shared" si="47"/>
        <v>0</v>
      </c>
      <c r="B2699" s="1" t="s">
        <v>40</v>
      </c>
      <c r="C2699" s="1">
        <v>54.8</v>
      </c>
      <c r="D2699" s="1">
        <v>1</v>
      </c>
    </row>
    <row r="2700" spans="1:4" x14ac:dyDescent="0.25">
      <c r="A2700" s="1">
        <f t="shared" si="47"/>
        <v>0</v>
      </c>
      <c r="B2700" s="1" t="s">
        <v>190</v>
      </c>
    </row>
    <row r="2701" spans="1:4" x14ac:dyDescent="0.25">
      <c r="A2701" s="1">
        <f t="shared" si="47"/>
        <v>0</v>
      </c>
      <c r="B2701" s="1" t="s">
        <v>1</v>
      </c>
      <c r="C2701" s="1">
        <v>2</v>
      </c>
    </row>
    <row r="2702" spans="1:4" x14ac:dyDescent="0.25">
      <c r="A2702" s="1">
        <f t="shared" si="47"/>
        <v>0</v>
      </c>
      <c r="B2702" s="1" t="s">
        <v>2</v>
      </c>
      <c r="C2702" s="1">
        <v>51.26</v>
      </c>
    </row>
    <row r="2703" spans="1:4" x14ac:dyDescent="0.25">
      <c r="A2703" s="1">
        <f t="shared" si="47"/>
        <v>0</v>
      </c>
      <c r="B2703" s="1" t="s">
        <v>3</v>
      </c>
      <c r="C2703" s="1" t="s">
        <v>4</v>
      </c>
      <c r="D2703" s="1" t="s">
        <v>5</v>
      </c>
    </row>
    <row r="2704" spans="1:4" x14ac:dyDescent="0.25">
      <c r="A2704" s="1">
        <f t="shared" si="47"/>
        <v>0</v>
      </c>
      <c r="B2704" s="1" t="s">
        <v>191</v>
      </c>
      <c r="C2704" s="1">
        <v>33.520000000000003</v>
      </c>
      <c r="D2704" s="1">
        <v>1</v>
      </c>
    </row>
    <row r="2705" spans="1:4" x14ac:dyDescent="0.25">
      <c r="A2705" s="1">
        <f t="shared" si="47"/>
        <v>0</v>
      </c>
      <c r="B2705" s="1" t="s">
        <v>192</v>
      </c>
      <c r="C2705" s="1">
        <v>17.739999999999998</v>
      </c>
      <c r="D2705" s="1">
        <v>1</v>
      </c>
    </row>
    <row r="2706" spans="1:4" x14ac:dyDescent="0.25">
      <c r="A2706" s="1">
        <f t="shared" si="47"/>
        <v>2706</v>
      </c>
      <c r="B2706" s="1" t="s">
        <v>193</v>
      </c>
    </row>
    <row r="2707" spans="1:4" x14ac:dyDescent="0.25">
      <c r="A2707" s="1">
        <f t="shared" si="47"/>
        <v>0</v>
      </c>
      <c r="B2707" s="1" t="s">
        <v>1</v>
      </c>
      <c r="C2707" s="1">
        <v>1</v>
      </c>
    </row>
    <row r="2708" spans="1:4" x14ac:dyDescent="0.25">
      <c r="A2708" s="1">
        <f t="shared" si="47"/>
        <v>0</v>
      </c>
      <c r="B2708" s="1" t="s">
        <v>2</v>
      </c>
      <c r="C2708" s="1">
        <v>38.4</v>
      </c>
    </row>
    <row r="2709" spans="1:4" x14ac:dyDescent="0.25">
      <c r="A2709" s="1">
        <f t="shared" si="47"/>
        <v>0</v>
      </c>
      <c r="B2709" s="1" t="s">
        <v>3</v>
      </c>
      <c r="C2709" s="1" t="s">
        <v>4</v>
      </c>
      <c r="D2709" s="1" t="s">
        <v>5</v>
      </c>
    </row>
    <row r="2710" spans="1:4" x14ac:dyDescent="0.25">
      <c r="A2710" s="1">
        <f t="shared" si="47"/>
        <v>0</v>
      </c>
      <c r="B2710" s="1" t="s">
        <v>20</v>
      </c>
      <c r="C2710" s="1">
        <v>38.4</v>
      </c>
      <c r="D2710" s="1">
        <v>1</v>
      </c>
    </row>
    <row r="2711" spans="1:4" x14ac:dyDescent="0.25">
      <c r="A2711" s="1">
        <f t="shared" si="47"/>
        <v>0</v>
      </c>
      <c r="B2711" s="1" t="s">
        <v>194</v>
      </c>
    </row>
    <row r="2712" spans="1:4" x14ac:dyDescent="0.25">
      <c r="A2712" s="1">
        <f t="shared" si="47"/>
        <v>0</v>
      </c>
      <c r="B2712" s="1" t="s">
        <v>1</v>
      </c>
      <c r="C2712" s="1">
        <v>2</v>
      </c>
    </row>
    <row r="2713" spans="1:4" x14ac:dyDescent="0.25">
      <c r="A2713" s="1">
        <f t="shared" si="47"/>
        <v>0</v>
      </c>
      <c r="B2713" s="1" t="s">
        <v>2</v>
      </c>
      <c r="C2713" s="1">
        <v>73.400000000000006</v>
      </c>
    </row>
    <row r="2714" spans="1:4" x14ac:dyDescent="0.25">
      <c r="A2714" s="1">
        <f t="shared" si="47"/>
        <v>0</v>
      </c>
      <c r="B2714" s="1" t="s">
        <v>3</v>
      </c>
      <c r="C2714" s="1" t="s">
        <v>4</v>
      </c>
      <c r="D2714" s="1" t="s">
        <v>5</v>
      </c>
    </row>
    <row r="2715" spans="1:4" x14ac:dyDescent="0.25">
      <c r="A2715" s="1">
        <f t="shared" si="47"/>
        <v>0</v>
      </c>
      <c r="B2715" s="1" t="s">
        <v>12</v>
      </c>
      <c r="C2715" s="1">
        <v>35</v>
      </c>
      <c r="D2715" s="1">
        <v>1</v>
      </c>
    </row>
    <row r="2716" spans="1:4" x14ac:dyDescent="0.25">
      <c r="A2716" s="1">
        <f t="shared" si="47"/>
        <v>0</v>
      </c>
      <c r="B2716" s="1" t="s">
        <v>20</v>
      </c>
      <c r="C2716" s="1">
        <v>38.4</v>
      </c>
      <c r="D2716" s="1">
        <v>1</v>
      </c>
    </row>
    <row r="2717" spans="1:4" x14ac:dyDescent="0.25">
      <c r="A2717" s="1">
        <f t="shared" si="47"/>
        <v>0</v>
      </c>
      <c r="B2717" s="1" t="s">
        <v>195</v>
      </c>
    </row>
    <row r="2718" spans="1:4" x14ac:dyDescent="0.25">
      <c r="A2718" s="1">
        <f t="shared" si="47"/>
        <v>0</v>
      </c>
      <c r="B2718" s="1" t="s">
        <v>1</v>
      </c>
      <c r="C2718" s="1">
        <v>1</v>
      </c>
    </row>
    <row r="2719" spans="1:4" x14ac:dyDescent="0.25">
      <c r="A2719" s="1">
        <f t="shared" si="47"/>
        <v>0</v>
      </c>
      <c r="B2719" s="1" t="s">
        <v>2</v>
      </c>
      <c r="C2719" s="1">
        <v>35</v>
      </c>
    </row>
    <row r="2720" spans="1:4" x14ac:dyDescent="0.25">
      <c r="A2720" s="1">
        <f t="shared" si="47"/>
        <v>0</v>
      </c>
      <c r="B2720" s="1" t="s">
        <v>3</v>
      </c>
      <c r="C2720" s="1" t="s">
        <v>4</v>
      </c>
      <c r="D2720" s="1" t="s">
        <v>5</v>
      </c>
    </row>
    <row r="2721" spans="1:4" x14ac:dyDescent="0.25">
      <c r="A2721" s="1">
        <f t="shared" si="47"/>
        <v>0</v>
      </c>
      <c r="B2721" s="1" t="s">
        <v>12</v>
      </c>
      <c r="C2721" s="1">
        <v>35</v>
      </c>
      <c r="D2721" s="1">
        <v>1</v>
      </c>
    </row>
  </sheetData>
  <sortState xmlns:xlrd2="http://schemas.microsoft.com/office/spreadsheetml/2017/richdata2" ref="W3:W99">
    <sortCondition ref="W3:W99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68B5-10DF-47D5-90C4-13C904BF112A}">
  <dimension ref="A1:C2721"/>
  <sheetViews>
    <sheetView workbookViewId="0">
      <selection activeCell="D10" sqref="D10"/>
    </sheetView>
  </sheetViews>
  <sheetFormatPr defaultRowHeight="15" x14ac:dyDescent="0.25"/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>
        <v>68</v>
      </c>
      <c r="C2" s="1"/>
    </row>
    <row r="3" spans="1:3" x14ac:dyDescent="0.25">
      <c r="A3" s="1" t="s">
        <v>2</v>
      </c>
      <c r="B3" s="1">
        <v>3033.05</v>
      </c>
      <c r="C3" s="1"/>
    </row>
    <row r="4" spans="1:3" x14ac:dyDescent="0.25">
      <c r="A4" s="1" t="s">
        <v>3</v>
      </c>
      <c r="B4" s="1" t="s">
        <v>4</v>
      </c>
      <c r="C4" s="1" t="s">
        <v>5</v>
      </c>
    </row>
    <row r="5" spans="1:3" x14ac:dyDescent="0.25">
      <c r="A5" s="1" t="s">
        <v>6</v>
      </c>
      <c r="B5" s="1">
        <v>164.4</v>
      </c>
      <c r="C5" s="1">
        <v>6</v>
      </c>
    </row>
    <row r="6" spans="1:3" x14ac:dyDescent="0.25">
      <c r="A6" s="1" t="s">
        <v>7</v>
      </c>
      <c r="B6" s="1">
        <v>54.8</v>
      </c>
      <c r="C6" s="1">
        <v>1</v>
      </c>
    </row>
    <row r="7" spans="1:3" x14ac:dyDescent="0.25">
      <c r="A7" s="1" t="s">
        <v>8</v>
      </c>
      <c r="B7" s="1">
        <v>602.79999999999995</v>
      </c>
      <c r="C7" s="1">
        <v>11</v>
      </c>
    </row>
    <row r="8" spans="1:3" x14ac:dyDescent="0.25">
      <c r="A8" s="1" t="s">
        <v>9</v>
      </c>
      <c r="B8" s="1">
        <v>328.8</v>
      </c>
      <c r="C8" s="1">
        <v>6</v>
      </c>
    </row>
    <row r="9" spans="1:3" x14ac:dyDescent="0.25">
      <c r="A9" s="1" t="s">
        <v>10</v>
      </c>
      <c r="B9" s="1">
        <v>76.8</v>
      </c>
      <c r="C9" s="1">
        <v>2</v>
      </c>
    </row>
    <row r="10" spans="1:3" x14ac:dyDescent="0.25">
      <c r="A10" s="1" t="s">
        <v>11</v>
      </c>
      <c r="B10" s="1">
        <v>40</v>
      </c>
      <c r="C10" s="1">
        <v>1</v>
      </c>
    </row>
    <row r="11" spans="1:3" x14ac:dyDescent="0.25">
      <c r="A11" s="1" t="s">
        <v>12</v>
      </c>
      <c r="B11" s="1">
        <v>140</v>
      </c>
      <c r="C11" s="1">
        <v>4</v>
      </c>
    </row>
    <row r="12" spans="1:3" x14ac:dyDescent="0.25">
      <c r="A12" s="1" t="s">
        <v>13</v>
      </c>
      <c r="B12" s="1">
        <v>153.6</v>
      </c>
      <c r="C12" s="1">
        <v>4</v>
      </c>
    </row>
    <row r="13" spans="1:3" x14ac:dyDescent="0.25">
      <c r="A13" s="1" t="s">
        <v>14</v>
      </c>
      <c r="B13" s="1">
        <v>28.75</v>
      </c>
      <c r="C13" s="1">
        <v>1</v>
      </c>
    </row>
    <row r="14" spans="1:3" x14ac:dyDescent="0.25">
      <c r="A14" s="1" t="s">
        <v>15</v>
      </c>
      <c r="B14" s="1">
        <v>408</v>
      </c>
      <c r="C14" s="1">
        <v>6</v>
      </c>
    </row>
    <row r="15" spans="1:3" x14ac:dyDescent="0.25">
      <c r="A15" s="1" t="s">
        <v>16</v>
      </c>
      <c r="B15" s="1">
        <v>35.200000000000003</v>
      </c>
      <c r="C15" s="1">
        <v>1</v>
      </c>
    </row>
    <row r="16" spans="1:3" x14ac:dyDescent="0.25">
      <c r="A16" s="1" t="s">
        <v>17</v>
      </c>
      <c r="B16" s="1">
        <v>153.6</v>
      </c>
      <c r="C16" s="1">
        <v>4</v>
      </c>
    </row>
    <row r="17" spans="1:3" x14ac:dyDescent="0.25">
      <c r="A17" s="1" t="s">
        <v>18</v>
      </c>
      <c r="B17" s="1">
        <v>76.8</v>
      </c>
      <c r="C17" s="1">
        <v>2</v>
      </c>
    </row>
    <row r="18" spans="1:3" x14ac:dyDescent="0.25">
      <c r="A18" s="1" t="s">
        <v>19</v>
      </c>
      <c r="B18" s="1">
        <v>28.75</v>
      </c>
      <c r="C18" s="1">
        <v>3</v>
      </c>
    </row>
    <row r="19" spans="1:3" x14ac:dyDescent="0.25">
      <c r="A19" s="1" t="s">
        <v>20</v>
      </c>
      <c r="B19" s="1">
        <v>307.2</v>
      </c>
      <c r="C19" s="1">
        <v>8</v>
      </c>
    </row>
    <row r="20" spans="1:3" x14ac:dyDescent="0.25">
      <c r="A20" s="1" t="s">
        <v>21</v>
      </c>
      <c r="B20" s="1">
        <v>328.8</v>
      </c>
      <c r="C20" s="1">
        <v>6</v>
      </c>
    </row>
    <row r="21" spans="1:3" x14ac:dyDescent="0.25">
      <c r="A21" s="1" t="s">
        <v>22</v>
      </c>
      <c r="B21" s="1">
        <v>54.8</v>
      </c>
      <c r="C21" s="1">
        <v>1</v>
      </c>
    </row>
    <row r="22" spans="1:3" x14ac:dyDescent="0.25">
      <c r="A22" s="1" t="s">
        <v>23</v>
      </c>
      <c r="B22" s="1">
        <v>49.95</v>
      </c>
      <c r="C22" s="1">
        <v>1</v>
      </c>
    </row>
    <row r="23" spans="1:3" x14ac:dyDescent="0.25">
      <c r="A23" s="1" t="s">
        <v>24</v>
      </c>
      <c r="B23" s="1"/>
      <c r="C23" s="1"/>
    </row>
    <row r="24" spans="1:3" x14ac:dyDescent="0.25">
      <c r="A24" s="1" t="s">
        <v>1</v>
      </c>
      <c r="B24" s="1">
        <v>122</v>
      </c>
      <c r="C24" s="1"/>
    </row>
    <row r="25" spans="1:3" x14ac:dyDescent="0.25">
      <c r="A25" s="1" t="s">
        <v>2</v>
      </c>
      <c r="B25" s="1">
        <v>4727.1899999999996</v>
      </c>
      <c r="C25" s="1"/>
    </row>
    <row r="26" spans="1:3" x14ac:dyDescent="0.25">
      <c r="A26" s="1" t="s">
        <v>3</v>
      </c>
      <c r="B26" s="1" t="s">
        <v>4</v>
      </c>
      <c r="C26" s="1" t="s">
        <v>5</v>
      </c>
    </row>
    <row r="27" spans="1:3" x14ac:dyDescent="0.25">
      <c r="A27" s="1" t="s">
        <v>12</v>
      </c>
      <c r="B27" s="1">
        <v>595</v>
      </c>
      <c r="C27" s="1">
        <v>17</v>
      </c>
    </row>
    <row r="28" spans="1:3" x14ac:dyDescent="0.25">
      <c r="A28" s="1" t="s">
        <v>21</v>
      </c>
      <c r="B28" s="1">
        <v>383.6</v>
      </c>
      <c r="C28" s="1">
        <v>7</v>
      </c>
    </row>
    <row r="29" spans="1:3" x14ac:dyDescent="0.25">
      <c r="A29" s="1" t="s">
        <v>25</v>
      </c>
      <c r="B29" s="1">
        <v>80</v>
      </c>
      <c r="C29" s="1">
        <v>2</v>
      </c>
    </row>
    <row r="30" spans="1:3" x14ac:dyDescent="0.25">
      <c r="A30" s="1" t="s">
        <v>20</v>
      </c>
      <c r="B30" s="1">
        <v>230.4</v>
      </c>
      <c r="C30" s="1">
        <v>7</v>
      </c>
    </row>
    <row r="31" spans="1:3" x14ac:dyDescent="0.25">
      <c r="A31" s="1" t="s">
        <v>9</v>
      </c>
      <c r="B31" s="1">
        <v>219.2</v>
      </c>
      <c r="C31" s="1">
        <v>4</v>
      </c>
    </row>
    <row r="32" spans="1:3" x14ac:dyDescent="0.25">
      <c r="A32" s="1" t="s">
        <v>26</v>
      </c>
      <c r="B32" s="1">
        <v>75</v>
      </c>
      <c r="C32" s="1">
        <v>2</v>
      </c>
    </row>
    <row r="33" spans="1:3" x14ac:dyDescent="0.25">
      <c r="A33" s="1" t="s">
        <v>17</v>
      </c>
      <c r="B33" s="1">
        <v>422.4</v>
      </c>
      <c r="C33" s="1">
        <v>11</v>
      </c>
    </row>
    <row r="34" spans="1:3" x14ac:dyDescent="0.25">
      <c r="A34" s="1" t="s">
        <v>27</v>
      </c>
      <c r="B34" s="1">
        <v>230.4</v>
      </c>
      <c r="C34" s="1">
        <v>11</v>
      </c>
    </row>
    <row r="35" spans="1:3" x14ac:dyDescent="0.25">
      <c r="A35" s="1" t="s">
        <v>7</v>
      </c>
      <c r="B35" s="1">
        <v>274</v>
      </c>
      <c r="C35" s="1">
        <v>5</v>
      </c>
    </row>
    <row r="36" spans="1:3" x14ac:dyDescent="0.25">
      <c r="A36" s="1" t="s">
        <v>18</v>
      </c>
      <c r="B36" s="1">
        <v>614.4</v>
      </c>
      <c r="C36" s="1">
        <v>16</v>
      </c>
    </row>
    <row r="37" spans="1:3" x14ac:dyDescent="0.25">
      <c r="A37" s="1" t="s">
        <v>28</v>
      </c>
      <c r="B37" s="1">
        <v>38.4</v>
      </c>
      <c r="C37" s="1">
        <v>1</v>
      </c>
    </row>
    <row r="38" spans="1:3" x14ac:dyDescent="0.25">
      <c r="A38" s="1" t="s">
        <v>6</v>
      </c>
      <c r="B38" s="1">
        <v>219.2</v>
      </c>
      <c r="C38" s="1">
        <v>4</v>
      </c>
    </row>
    <row r="39" spans="1:3" x14ac:dyDescent="0.25">
      <c r="A39" s="1" t="s">
        <v>29</v>
      </c>
      <c r="B39" s="1">
        <v>38.4</v>
      </c>
      <c r="C39" s="1">
        <v>1</v>
      </c>
    </row>
    <row r="40" spans="1:3" x14ac:dyDescent="0.25">
      <c r="A40" s="1" t="s">
        <v>30</v>
      </c>
      <c r="B40" s="1">
        <v>47.97</v>
      </c>
      <c r="C40" s="1">
        <v>3</v>
      </c>
    </row>
    <row r="41" spans="1:3" x14ac:dyDescent="0.25">
      <c r="A41" s="1" t="s">
        <v>31</v>
      </c>
      <c r="B41" s="1">
        <v>69.12</v>
      </c>
      <c r="C41" s="1">
        <v>2</v>
      </c>
    </row>
    <row r="42" spans="1:3" x14ac:dyDescent="0.25">
      <c r="A42" s="1" t="s">
        <v>8</v>
      </c>
      <c r="B42" s="1">
        <v>164.4</v>
      </c>
      <c r="C42" s="1">
        <v>3</v>
      </c>
    </row>
    <row r="43" spans="1:3" x14ac:dyDescent="0.25">
      <c r="A43" s="1" t="s">
        <v>13</v>
      </c>
      <c r="B43" s="1">
        <v>153.6</v>
      </c>
      <c r="C43" s="1">
        <v>4</v>
      </c>
    </row>
    <row r="44" spans="1:3" x14ac:dyDescent="0.25">
      <c r="A44" s="1" t="s">
        <v>32</v>
      </c>
      <c r="B44" s="1">
        <v>38.4</v>
      </c>
      <c r="C44" s="1">
        <v>1</v>
      </c>
    </row>
    <row r="45" spans="1:3" x14ac:dyDescent="0.25">
      <c r="A45" s="1" t="s">
        <v>33</v>
      </c>
      <c r="B45" s="1">
        <v>80</v>
      </c>
      <c r="C45" s="1">
        <v>2</v>
      </c>
    </row>
    <row r="46" spans="1:3" x14ac:dyDescent="0.25">
      <c r="A46" s="1" t="s">
        <v>34</v>
      </c>
      <c r="B46" s="1">
        <v>64</v>
      </c>
      <c r="C46" s="1">
        <v>1</v>
      </c>
    </row>
    <row r="47" spans="1:3" x14ac:dyDescent="0.25">
      <c r="A47" s="1" t="s">
        <v>35</v>
      </c>
      <c r="B47" s="1">
        <v>38.4</v>
      </c>
      <c r="C47" s="1">
        <v>2</v>
      </c>
    </row>
    <row r="48" spans="1:3" x14ac:dyDescent="0.25">
      <c r="A48" s="1" t="s">
        <v>36</v>
      </c>
      <c r="B48" s="1">
        <v>38.4</v>
      </c>
      <c r="C48" s="1">
        <v>1</v>
      </c>
    </row>
    <row r="49" spans="1:3" x14ac:dyDescent="0.25">
      <c r="A49" s="1" t="s">
        <v>37</v>
      </c>
      <c r="B49" s="1">
        <v>54.8</v>
      </c>
      <c r="C49" s="1">
        <v>1</v>
      </c>
    </row>
    <row r="50" spans="1:3" x14ac:dyDescent="0.25">
      <c r="A50" s="1" t="s">
        <v>38</v>
      </c>
      <c r="B50" s="1">
        <v>64</v>
      </c>
      <c r="C50" s="1">
        <v>1</v>
      </c>
    </row>
    <row r="51" spans="1:3" x14ac:dyDescent="0.25">
      <c r="A51" s="1" t="s">
        <v>19</v>
      </c>
      <c r="B51" s="1">
        <v>28.75</v>
      </c>
      <c r="C51" s="1">
        <v>1</v>
      </c>
    </row>
    <row r="52" spans="1:3" x14ac:dyDescent="0.25">
      <c r="A52" s="1" t="s">
        <v>39</v>
      </c>
      <c r="B52" s="1">
        <v>40</v>
      </c>
      <c r="C52" s="1">
        <v>1</v>
      </c>
    </row>
    <row r="53" spans="1:3" x14ac:dyDescent="0.25">
      <c r="A53" s="1" t="s">
        <v>40</v>
      </c>
      <c r="B53" s="1">
        <v>164.4</v>
      </c>
      <c r="C53" s="1">
        <v>3</v>
      </c>
    </row>
    <row r="54" spans="1:3" x14ac:dyDescent="0.25">
      <c r="A54" s="1" t="s">
        <v>41</v>
      </c>
      <c r="B54" s="1">
        <v>57.5</v>
      </c>
      <c r="C54" s="1">
        <v>2</v>
      </c>
    </row>
    <row r="55" spans="1:3" x14ac:dyDescent="0.25">
      <c r="A55" s="1" t="s">
        <v>42</v>
      </c>
      <c r="B55" s="1">
        <v>40</v>
      </c>
      <c r="C55" s="1">
        <v>1</v>
      </c>
    </row>
    <row r="56" spans="1:3" x14ac:dyDescent="0.25">
      <c r="A56" s="1" t="s">
        <v>43</v>
      </c>
      <c r="B56" s="1">
        <v>57.5</v>
      </c>
      <c r="C56" s="1">
        <v>2</v>
      </c>
    </row>
    <row r="57" spans="1:3" x14ac:dyDescent="0.25">
      <c r="A57" s="1" t="s">
        <v>10</v>
      </c>
      <c r="B57" s="1">
        <v>38.4</v>
      </c>
      <c r="C57" s="1">
        <v>1</v>
      </c>
    </row>
    <row r="58" spans="1:3" x14ac:dyDescent="0.25">
      <c r="A58" s="1" t="s">
        <v>44</v>
      </c>
      <c r="B58" s="1">
        <v>38.4</v>
      </c>
      <c r="C58" s="1">
        <v>1</v>
      </c>
    </row>
    <row r="59" spans="1:3" x14ac:dyDescent="0.25">
      <c r="A59" s="1" t="s">
        <v>45</v>
      </c>
      <c r="B59" s="1">
        <v>28.75</v>
      </c>
      <c r="C59" s="1">
        <v>1</v>
      </c>
    </row>
    <row r="60" spans="1:3" x14ac:dyDescent="0.25">
      <c r="A60" s="1" t="s">
        <v>46</v>
      </c>
      <c r="B60" s="1"/>
      <c r="C60" s="1"/>
    </row>
    <row r="61" spans="1:3" x14ac:dyDescent="0.25">
      <c r="A61" s="1" t="s">
        <v>1</v>
      </c>
      <c r="B61" s="1">
        <v>12</v>
      </c>
      <c r="C61" s="1"/>
    </row>
    <row r="62" spans="1:3" x14ac:dyDescent="0.25">
      <c r="A62" s="1" t="s">
        <v>2</v>
      </c>
      <c r="B62" s="1">
        <v>601.4</v>
      </c>
      <c r="C62" s="1"/>
    </row>
    <row r="63" spans="1:3" x14ac:dyDescent="0.25">
      <c r="A63" s="1" t="s">
        <v>3</v>
      </c>
      <c r="B63" s="1" t="s">
        <v>4</v>
      </c>
      <c r="C63" s="1" t="s">
        <v>5</v>
      </c>
    </row>
    <row r="64" spans="1:3" x14ac:dyDescent="0.25">
      <c r="A64" s="1" t="s">
        <v>47</v>
      </c>
      <c r="B64" s="1">
        <v>192</v>
      </c>
      <c r="C64" s="1">
        <v>3</v>
      </c>
    </row>
    <row r="65" spans="1:3" x14ac:dyDescent="0.25">
      <c r="A65" s="1" t="s">
        <v>42</v>
      </c>
      <c r="B65" s="1">
        <v>40</v>
      </c>
      <c r="C65" s="1">
        <v>1</v>
      </c>
    </row>
    <row r="66" spans="1:3" x14ac:dyDescent="0.25">
      <c r="A66" s="1" t="s">
        <v>20</v>
      </c>
      <c r="B66" s="1">
        <v>38.4</v>
      </c>
      <c r="C66" s="1">
        <v>1</v>
      </c>
    </row>
    <row r="67" spans="1:3" x14ac:dyDescent="0.25">
      <c r="A67" s="1" t="s">
        <v>22</v>
      </c>
      <c r="B67" s="1">
        <v>109.6</v>
      </c>
      <c r="C67" s="1">
        <v>2</v>
      </c>
    </row>
    <row r="68" spans="1:3" x14ac:dyDescent="0.25">
      <c r="A68" s="1" t="s">
        <v>10</v>
      </c>
      <c r="B68" s="1">
        <v>38.4</v>
      </c>
      <c r="C68" s="1">
        <v>1</v>
      </c>
    </row>
    <row r="69" spans="1:3" x14ac:dyDescent="0.25">
      <c r="A69" s="1" t="s">
        <v>8</v>
      </c>
      <c r="B69" s="1">
        <v>54.8</v>
      </c>
      <c r="C69" s="1">
        <v>1</v>
      </c>
    </row>
    <row r="70" spans="1:3" x14ac:dyDescent="0.25">
      <c r="A70" s="1" t="s">
        <v>7</v>
      </c>
      <c r="B70" s="1">
        <v>54.8</v>
      </c>
      <c r="C70" s="1">
        <v>1</v>
      </c>
    </row>
    <row r="71" spans="1:3" x14ac:dyDescent="0.25">
      <c r="A71" s="1" t="s">
        <v>12</v>
      </c>
      <c r="B71" s="1">
        <v>35</v>
      </c>
      <c r="C71" s="1">
        <v>1</v>
      </c>
    </row>
    <row r="72" spans="1:3" x14ac:dyDescent="0.25">
      <c r="A72" s="1" t="s">
        <v>18</v>
      </c>
      <c r="B72" s="1">
        <v>38.4</v>
      </c>
      <c r="C72" s="1">
        <v>1</v>
      </c>
    </row>
    <row r="73" spans="1:3" x14ac:dyDescent="0.25">
      <c r="A73" s="1" t="s">
        <v>48</v>
      </c>
      <c r="B73" s="1"/>
      <c r="C73" s="1"/>
    </row>
    <row r="74" spans="1:3" x14ac:dyDescent="0.25">
      <c r="A74" s="1" t="s">
        <v>1</v>
      </c>
      <c r="B74" s="1">
        <v>128</v>
      </c>
      <c r="C74" s="1"/>
    </row>
    <row r="75" spans="1:3" x14ac:dyDescent="0.25">
      <c r="A75" s="1" t="s">
        <v>2</v>
      </c>
      <c r="B75" s="1">
        <v>5201.37</v>
      </c>
      <c r="C75" s="1"/>
    </row>
    <row r="76" spans="1:3" x14ac:dyDescent="0.25">
      <c r="A76" s="1" t="s">
        <v>3</v>
      </c>
      <c r="B76" s="1" t="s">
        <v>4</v>
      </c>
      <c r="C76" s="1" t="s">
        <v>5</v>
      </c>
    </row>
    <row r="77" spans="1:3" x14ac:dyDescent="0.25">
      <c r="A77" s="1" t="s">
        <v>49</v>
      </c>
      <c r="B77" s="1">
        <v>80</v>
      </c>
      <c r="C77" s="1">
        <v>2</v>
      </c>
    </row>
    <row r="78" spans="1:3" x14ac:dyDescent="0.25">
      <c r="A78" s="1" t="s">
        <v>17</v>
      </c>
      <c r="B78" s="1">
        <v>537.6</v>
      </c>
      <c r="C78" s="1">
        <v>18</v>
      </c>
    </row>
    <row r="79" spans="1:3" x14ac:dyDescent="0.25">
      <c r="A79" s="1" t="s">
        <v>21</v>
      </c>
      <c r="B79" s="1">
        <v>602.79999999999995</v>
      </c>
      <c r="C79" s="1">
        <v>12</v>
      </c>
    </row>
    <row r="80" spans="1:3" x14ac:dyDescent="0.25">
      <c r="A80" s="1" t="s">
        <v>50</v>
      </c>
      <c r="B80" s="1">
        <v>42.5</v>
      </c>
      <c r="C80" s="1">
        <v>1</v>
      </c>
    </row>
    <row r="81" spans="1:3" x14ac:dyDescent="0.25">
      <c r="A81" s="1" t="s">
        <v>40</v>
      </c>
      <c r="B81" s="1">
        <v>328.8</v>
      </c>
      <c r="C81" s="1">
        <v>7</v>
      </c>
    </row>
    <row r="82" spans="1:3" x14ac:dyDescent="0.25">
      <c r="A82" s="1" t="s">
        <v>18</v>
      </c>
      <c r="B82" s="1">
        <v>614.4</v>
      </c>
      <c r="C82" s="1">
        <v>16</v>
      </c>
    </row>
    <row r="83" spans="1:3" x14ac:dyDescent="0.25">
      <c r="A83" s="1" t="s">
        <v>51</v>
      </c>
      <c r="B83" s="1">
        <v>38.4</v>
      </c>
      <c r="C83" s="1">
        <v>1</v>
      </c>
    </row>
    <row r="84" spans="1:3" x14ac:dyDescent="0.25">
      <c r="A84" s="1" t="s">
        <v>22</v>
      </c>
      <c r="B84" s="1">
        <v>54.8</v>
      </c>
      <c r="C84" s="1">
        <v>1</v>
      </c>
    </row>
    <row r="85" spans="1:3" x14ac:dyDescent="0.25">
      <c r="A85" s="1" t="s">
        <v>6</v>
      </c>
      <c r="B85" s="1">
        <v>109.6</v>
      </c>
      <c r="C85" s="1">
        <v>2</v>
      </c>
    </row>
    <row r="86" spans="1:3" x14ac:dyDescent="0.25">
      <c r="A86" s="1" t="s">
        <v>7</v>
      </c>
      <c r="B86" s="1">
        <v>164.4</v>
      </c>
      <c r="C86" s="1">
        <v>3</v>
      </c>
    </row>
    <row r="87" spans="1:3" x14ac:dyDescent="0.25">
      <c r="A87" s="1" t="s">
        <v>12</v>
      </c>
      <c r="B87" s="1">
        <v>420</v>
      </c>
      <c r="C87" s="1">
        <v>12</v>
      </c>
    </row>
    <row r="88" spans="1:3" x14ac:dyDescent="0.25">
      <c r="A88" s="1" t="s">
        <v>31</v>
      </c>
      <c r="B88" s="1">
        <v>34.56</v>
      </c>
      <c r="C88" s="1">
        <v>1</v>
      </c>
    </row>
    <row r="89" spans="1:3" x14ac:dyDescent="0.25">
      <c r="A89" s="1" t="s">
        <v>52</v>
      </c>
      <c r="B89" s="1">
        <v>64</v>
      </c>
      <c r="C89" s="1">
        <v>1</v>
      </c>
    </row>
    <row r="90" spans="1:3" x14ac:dyDescent="0.25">
      <c r="A90" s="1" t="s">
        <v>33</v>
      </c>
      <c r="B90" s="1">
        <v>240</v>
      </c>
      <c r="C90" s="1">
        <v>6</v>
      </c>
    </row>
    <row r="91" spans="1:3" x14ac:dyDescent="0.25">
      <c r="A91" s="1" t="s">
        <v>15</v>
      </c>
      <c r="B91" s="1">
        <v>408</v>
      </c>
      <c r="C91" s="1">
        <v>6</v>
      </c>
    </row>
    <row r="92" spans="1:3" x14ac:dyDescent="0.25">
      <c r="A92" s="1" t="s">
        <v>26</v>
      </c>
      <c r="B92" s="1">
        <v>112.5</v>
      </c>
      <c r="C92" s="1">
        <v>3</v>
      </c>
    </row>
    <row r="93" spans="1:3" x14ac:dyDescent="0.25">
      <c r="A93" s="1" t="s">
        <v>14</v>
      </c>
      <c r="B93" s="1">
        <v>28.75</v>
      </c>
      <c r="C93" s="1">
        <v>1</v>
      </c>
    </row>
    <row r="94" spans="1:3" x14ac:dyDescent="0.25">
      <c r="A94" s="1" t="s">
        <v>8</v>
      </c>
      <c r="B94" s="1">
        <v>219.2</v>
      </c>
      <c r="C94" s="1">
        <v>6</v>
      </c>
    </row>
    <row r="95" spans="1:3" x14ac:dyDescent="0.25">
      <c r="A95" s="1" t="s">
        <v>9</v>
      </c>
      <c r="B95" s="1">
        <v>164.4</v>
      </c>
      <c r="C95" s="1">
        <v>3</v>
      </c>
    </row>
    <row r="96" spans="1:3" x14ac:dyDescent="0.25">
      <c r="A96" s="1" t="s">
        <v>16</v>
      </c>
      <c r="B96" s="1">
        <v>35.200000000000003</v>
      </c>
      <c r="C96" s="1">
        <v>1</v>
      </c>
    </row>
    <row r="97" spans="1:3" x14ac:dyDescent="0.25">
      <c r="A97" s="1" t="s">
        <v>27</v>
      </c>
      <c r="B97" s="1">
        <v>76.8</v>
      </c>
      <c r="C97" s="1">
        <v>2</v>
      </c>
    </row>
    <row r="98" spans="1:3" x14ac:dyDescent="0.25">
      <c r="A98" s="1" t="s">
        <v>53</v>
      </c>
      <c r="B98" s="1">
        <v>28.75</v>
      </c>
      <c r="C98" s="1">
        <v>1</v>
      </c>
    </row>
    <row r="99" spans="1:3" x14ac:dyDescent="0.25">
      <c r="A99" s="1" t="s">
        <v>10</v>
      </c>
      <c r="B99" s="1">
        <v>76.8</v>
      </c>
      <c r="C99" s="1">
        <v>2</v>
      </c>
    </row>
    <row r="100" spans="1:3" x14ac:dyDescent="0.25">
      <c r="A100" s="1" t="s">
        <v>41</v>
      </c>
      <c r="B100" s="1">
        <v>57.5</v>
      </c>
      <c r="C100" s="1">
        <v>2</v>
      </c>
    </row>
    <row r="101" spans="1:3" x14ac:dyDescent="0.25">
      <c r="A101" s="1" t="s">
        <v>54</v>
      </c>
      <c r="B101" s="1">
        <v>76.8</v>
      </c>
      <c r="C101" s="1">
        <v>2</v>
      </c>
    </row>
    <row r="102" spans="1:3" x14ac:dyDescent="0.25">
      <c r="A102" s="1" t="s">
        <v>55</v>
      </c>
      <c r="B102" s="1">
        <v>38.4</v>
      </c>
      <c r="C102" s="1">
        <v>1</v>
      </c>
    </row>
    <row r="103" spans="1:3" x14ac:dyDescent="0.25">
      <c r="A103" s="1" t="s">
        <v>56</v>
      </c>
      <c r="B103" s="1">
        <v>38.4</v>
      </c>
      <c r="C103" s="1">
        <v>1</v>
      </c>
    </row>
    <row r="104" spans="1:3" x14ac:dyDescent="0.25">
      <c r="A104" s="1" t="s">
        <v>20</v>
      </c>
      <c r="B104" s="1">
        <v>115.2</v>
      </c>
      <c r="C104" s="1">
        <v>3</v>
      </c>
    </row>
    <row r="105" spans="1:3" x14ac:dyDescent="0.25">
      <c r="A105" s="1" t="s">
        <v>36</v>
      </c>
      <c r="B105" s="1">
        <v>72.959999999999994</v>
      </c>
      <c r="C105" s="1">
        <v>2</v>
      </c>
    </row>
    <row r="106" spans="1:3" x14ac:dyDescent="0.25">
      <c r="A106" s="1" t="s">
        <v>11</v>
      </c>
      <c r="B106" s="1">
        <v>40</v>
      </c>
      <c r="C106" s="1">
        <v>1</v>
      </c>
    </row>
    <row r="107" spans="1:3" x14ac:dyDescent="0.25">
      <c r="A107" s="1" t="s">
        <v>57</v>
      </c>
      <c r="B107" s="1">
        <v>40</v>
      </c>
      <c r="C107" s="1">
        <v>1</v>
      </c>
    </row>
    <row r="108" spans="1:3" x14ac:dyDescent="0.25">
      <c r="A108" s="1" t="s">
        <v>35</v>
      </c>
      <c r="B108" s="1">
        <v>38.4</v>
      </c>
      <c r="C108" s="1">
        <v>1</v>
      </c>
    </row>
    <row r="109" spans="1:3" x14ac:dyDescent="0.25">
      <c r="A109" s="1" t="s">
        <v>44</v>
      </c>
      <c r="B109" s="1">
        <v>115.2</v>
      </c>
      <c r="C109" s="1">
        <v>3</v>
      </c>
    </row>
    <row r="110" spans="1:3" x14ac:dyDescent="0.25">
      <c r="A110" s="1" t="s">
        <v>45</v>
      </c>
      <c r="B110" s="1">
        <v>86.25</v>
      </c>
      <c r="C110" s="1">
        <v>3</v>
      </c>
    </row>
    <row r="111" spans="1:3" x14ac:dyDescent="0.25">
      <c r="A111" s="1" t="s">
        <v>58</v>
      </c>
      <c r="B111" s="1"/>
      <c r="C111" s="1"/>
    </row>
    <row r="112" spans="1:3" x14ac:dyDescent="0.25">
      <c r="A112" s="1" t="s">
        <v>1</v>
      </c>
      <c r="B112" s="1">
        <v>59</v>
      </c>
      <c r="C112" s="1"/>
    </row>
    <row r="113" spans="1:3" x14ac:dyDescent="0.25">
      <c r="A113" s="1" t="s">
        <v>2</v>
      </c>
      <c r="B113" s="1">
        <v>2340.5</v>
      </c>
      <c r="C113" s="1"/>
    </row>
    <row r="114" spans="1:3" x14ac:dyDescent="0.25">
      <c r="A114" s="1" t="s">
        <v>3</v>
      </c>
      <c r="B114" s="1" t="s">
        <v>4</v>
      </c>
      <c r="C114" s="1" t="s">
        <v>5</v>
      </c>
    </row>
    <row r="115" spans="1:3" x14ac:dyDescent="0.25">
      <c r="A115" s="1" t="s">
        <v>17</v>
      </c>
      <c r="B115" s="1">
        <v>153.6</v>
      </c>
      <c r="C115" s="1">
        <v>4</v>
      </c>
    </row>
    <row r="116" spans="1:3" x14ac:dyDescent="0.25">
      <c r="A116" s="1" t="s">
        <v>7</v>
      </c>
      <c r="B116" s="1">
        <v>109.6</v>
      </c>
      <c r="C116" s="1">
        <v>3</v>
      </c>
    </row>
    <row r="117" spans="1:3" x14ac:dyDescent="0.25">
      <c r="A117" s="1" t="s">
        <v>57</v>
      </c>
      <c r="B117" s="1">
        <v>40</v>
      </c>
      <c r="C117" s="1">
        <v>1</v>
      </c>
    </row>
    <row r="118" spans="1:3" x14ac:dyDescent="0.25">
      <c r="A118" s="1" t="s">
        <v>8</v>
      </c>
      <c r="B118" s="1">
        <v>328.8</v>
      </c>
      <c r="C118" s="1">
        <v>7</v>
      </c>
    </row>
    <row r="119" spans="1:3" x14ac:dyDescent="0.25">
      <c r="A119" s="1" t="s">
        <v>59</v>
      </c>
      <c r="B119" s="1">
        <v>40</v>
      </c>
      <c r="C119" s="1">
        <v>1</v>
      </c>
    </row>
    <row r="120" spans="1:3" x14ac:dyDescent="0.25">
      <c r="A120" s="1" t="s">
        <v>20</v>
      </c>
      <c r="B120" s="1">
        <v>384</v>
      </c>
      <c r="C120" s="1">
        <v>10</v>
      </c>
    </row>
    <row r="121" spans="1:3" x14ac:dyDescent="0.25">
      <c r="A121" s="1" t="s">
        <v>33</v>
      </c>
      <c r="B121" s="1">
        <v>80</v>
      </c>
      <c r="C121" s="1">
        <v>2</v>
      </c>
    </row>
    <row r="122" spans="1:3" x14ac:dyDescent="0.25">
      <c r="A122" s="1" t="s">
        <v>18</v>
      </c>
      <c r="B122" s="1">
        <v>307.2</v>
      </c>
      <c r="C122" s="1">
        <v>8</v>
      </c>
    </row>
    <row r="123" spans="1:3" x14ac:dyDescent="0.25">
      <c r="A123" s="1" t="s">
        <v>25</v>
      </c>
      <c r="B123" s="1">
        <v>40</v>
      </c>
      <c r="C123" s="1">
        <v>1</v>
      </c>
    </row>
    <row r="124" spans="1:3" x14ac:dyDescent="0.25">
      <c r="A124" s="1" t="s">
        <v>9</v>
      </c>
      <c r="B124" s="1">
        <v>109.6</v>
      </c>
      <c r="C124" s="1">
        <v>2</v>
      </c>
    </row>
    <row r="125" spans="1:3" x14ac:dyDescent="0.25">
      <c r="A125" s="1" t="s">
        <v>21</v>
      </c>
      <c r="B125" s="1">
        <v>164.4</v>
      </c>
      <c r="C125" s="1">
        <v>4</v>
      </c>
    </row>
    <row r="126" spans="1:3" x14ac:dyDescent="0.25">
      <c r="A126" s="1" t="s">
        <v>27</v>
      </c>
      <c r="B126" s="1">
        <v>38.4</v>
      </c>
      <c r="C126" s="1">
        <v>1</v>
      </c>
    </row>
    <row r="127" spans="1:3" x14ac:dyDescent="0.25">
      <c r="A127" s="1" t="s">
        <v>49</v>
      </c>
      <c r="B127" s="1">
        <v>120</v>
      </c>
      <c r="C127" s="1">
        <v>3</v>
      </c>
    </row>
    <row r="128" spans="1:3" x14ac:dyDescent="0.25">
      <c r="A128" s="1" t="s">
        <v>16</v>
      </c>
      <c r="B128" s="1">
        <v>70.400000000000006</v>
      </c>
      <c r="C128" s="1">
        <v>2</v>
      </c>
    </row>
    <row r="129" spans="1:3" x14ac:dyDescent="0.25">
      <c r="A129" s="1" t="s">
        <v>54</v>
      </c>
      <c r="B129" s="1">
        <v>76.8</v>
      </c>
      <c r="C129" s="1">
        <v>2</v>
      </c>
    </row>
    <row r="130" spans="1:3" x14ac:dyDescent="0.25">
      <c r="A130" s="1" t="s">
        <v>10</v>
      </c>
      <c r="B130" s="1">
        <v>76.8</v>
      </c>
      <c r="C130" s="1">
        <v>2</v>
      </c>
    </row>
    <row r="131" spans="1:3" x14ac:dyDescent="0.25">
      <c r="A131" s="1" t="s">
        <v>12</v>
      </c>
      <c r="B131" s="1">
        <v>105</v>
      </c>
      <c r="C131" s="1">
        <v>3</v>
      </c>
    </row>
    <row r="132" spans="1:3" x14ac:dyDescent="0.25">
      <c r="A132" s="1" t="s">
        <v>41</v>
      </c>
      <c r="B132" s="1">
        <v>28.75</v>
      </c>
      <c r="C132" s="1">
        <v>1</v>
      </c>
    </row>
    <row r="133" spans="1:3" x14ac:dyDescent="0.25">
      <c r="A133" s="1" t="s">
        <v>19</v>
      </c>
      <c r="B133" s="1">
        <v>28.75</v>
      </c>
      <c r="C133" s="1">
        <v>1</v>
      </c>
    </row>
    <row r="134" spans="1:3" x14ac:dyDescent="0.25">
      <c r="A134" s="1" t="s">
        <v>44</v>
      </c>
      <c r="B134" s="1">
        <v>38.4</v>
      </c>
      <c r="C134" s="1">
        <v>1</v>
      </c>
    </row>
    <row r="135" spans="1:3" x14ac:dyDescent="0.25">
      <c r="A135" s="1" t="s">
        <v>60</v>
      </c>
      <c r="B135" s="1"/>
      <c r="C135" s="1"/>
    </row>
    <row r="136" spans="1:3" x14ac:dyDescent="0.25">
      <c r="A136" s="1" t="s">
        <v>1</v>
      </c>
      <c r="B136" s="1">
        <v>453</v>
      </c>
      <c r="C136" s="1"/>
    </row>
    <row r="137" spans="1:3" x14ac:dyDescent="0.25">
      <c r="A137" s="1" t="s">
        <v>2</v>
      </c>
      <c r="B137" s="1">
        <v>17004.37</v>
      </c>
      <c r="C137" s="1"/>
    </row>
    <row r="138" spans="1:3" x14ac:dyDescent="0.25">
      <c r="A138" s="1" t="s">
        <v>3</v>
      </c>
      <c r="B138" s="1" t="s">
        <v>4</v>
      </c>
      <c r="C138" s="1" t="s">
        <v>5</v>
      </c>
    </row>
    <row r="139" spans="1:3" x14ac:dyDescent="0.25">
      <c r="A139" s="1" t="s">
        <v>17</v>
      </c>
      <c r="B139" s="1">
        <v>1843.2</v>
      </c>
      <c r="C139" s="1">
        <v>58</v>
      </c>
    </row>
    <row r="140" spans="1:3" x14ac:dyDescent="0.25">
      <c r="A140" s="1" t="s">
        <v>13</v>
      </c>
      <c r="B140" s="1">
        <v>691.2</v>
      </c>
      <c r="C140" s="1">
        <v>28</v>
      </c>
    </row>
    <row r="141" spans="1:3" x14ac:dyDescent="0.25">
      <c r="A141" s="1" t="s">
        <v>61</v>
      </c>
      <c r="B141" s="1">
        <v>576</v>
      </c>
      <c r="C141" s="1">
        <v>11</v>
      </c>
    </row>
    <row r="142" spans="1:3" x14ac:dyDescent="0.25">
      <c r="A142" s="1" t="s">
        <v>20</v>
      </c>
      <c r="B142" s="1">
        <v>1228.8</v>
      </c>
      <c r="C142" s="1">
        <v>33</v>
      </c>
    </row>
    <row r="143" spans="1:3" x14ac:dyDescent="0.25">
      <c r="A143" s="1" t="s">
        <v>40</v>
      </c>
      <c r="B143" s="1">
        <v>822</v>
      </c>
      <c r="C143" s="1">
        <v>15</v>
      </c>
    </row>
    <row r="144" spans="1:3" x14ac:dyDescent="0.25">
      <c r="A144" s="1" t="s">
        <v>19</v>
      </c>
      <c r="B144" s="1">
        <v>258.75</v>
      </c>
      <c r="C144" s="1">
        <v>9</v>
      </c>
    </row>
    <row r="145" spans="1:3" x14ac:dyDescent="0.25">
      <c r="A145" s="1" t="s">
        <v>8</v>
      </c>
      <c r="B145" s="1">
        <v>1096</v>
      </c>
      <c r="C145" s="1">
        <v>20</v>
      </c>
    </row>
    <row r="146" spans="1:3" x14ac:dyDescent="0.25">
      <c r="A146" s="1" t="s">
        <v>10</v>
      </c>
      <c r="B146" s="1">
        <v>115.2</v>
      </c>
      <c r="C146" s="1">
        <v>3</v>
      </c>
    </row>
    <row r="147" spans="1:3" x14ac:dyDescent="0.25">
      <c r="A147" s="1" t="s">
        <v>12</v>
      </c>
      <c r="B147" s="1">
        <v>840</v>
      </c>
      <c r="C147" s="1">
        <v>25</v>
      </c>
    </row>
    <row r="148" spans="1:3" x14ac:dyDescent="0.25">
      <c r="A148" s="1" t="s">
        <v>33</v>
      </c>
      <c r="B148" s="1">
        <v>120</v>
      </c>
      <c r="C148" s="1">
        <v>3</v>
      </c>
    </row>
    <row r="149" spans="1:3" x14ac:dyDescent="0.25">
      <c r="A149" s="1" t="s">
        <v>21</v>
      </c>
      <c r="B149" s="1">
        <v>1315.2</v>
      </c>
      <c r="C149" s="1">
        <v>24</v>
      </c>
    </row>
    <row r="150" spans="1:3" x14ac:dyDescent="0.25">
      <c r="A150" s="1" t="s">
        <v>18</v>
      </c>
      <c r="B150" s="1">
        <v>1996.8</v>
      </c>
      <c r="C150" s="1">
        <v>56</v>
      </c>
    </row>
    <row r="151" spans="1:3" x14ac:dyDescent="0.25">
      <c r="A151" s="1" t="s">
        <v>26</v>
      </c>
      <c r="B151" s="1">
        <v>337.5</v>
      </c>
      <c r="C151" s="1">
        <v>11</v>
      </c>
    </row>
    <row r="152" spans="1:3" x14ac:dyDescent="0.25">
      <c r="A152" s="1" t="s">
        <v>14</v>
      </c>
      <c r="B152" s="1">
        <v>86.25</v>
      </c>
      <c r="C152" s="1">
        <v>3</v>
      </c>
    </row>
    <row r="153" spans="1:3" x14ac:dyDescent="0.25">
      <c r="A153" s="1" t="s">
        <v>7</v>
      </c>
      <c r="B153" s="1">
        <v>548</v>
      </c>
      <c r="C153" s="1">
        <v>12</v>
      </c>
    </row>
    <row r="154" spans="1:3" x14ac:dyDescent="0.25">
      <c r="A154" s="1" t="s">
        <v>28</v>
      </c>
      <c r="B154" s="1">
        <v>76.8</v>
      </c>
      <c r="C154" s="1">
        <v>2</v>
      </c>
    </row>
    <row r="155" spans="1:3" x14ac:dyDescent="0.25">
      <c r="A155" s="1" t="s">
        <v>51</v>
      </c>
      <c r="B155" s="1">
        <v>115.2</v>
      </c>
      <c r="C155" s="1">
        <v>3</v>
      </c>
    </row>
    <row r="156" spans="1:3" x14ac:dyDescent="0.25">
      <c r="A156" s="1" t="s">
        <v>27</v>
      </c>
      <c r="B156" s="1">
        <v>384</v>
      </c>
      <c r="C156" s="1">
        <v>10</v>
      </c>
    </row>
    <row r="157" spans="1:3" x14ac:dyDescent="0.25">
      <c r="A157" s="1" t="s">
        <v>6</v>
      </c>
      <c r="B157" s="1">
        <v>164.4</v>
      </c>
      <c r="C157" s="1">
        <v>8</v>
      </c>
    </row>
    <row r="158" spans="1:3" x14ac:dyDescent="0.25">
      <c r="A158" s="1" t="s">
        <v>30</v>
      </c>
      <c r="B158" s="1">
        <v>31.98</v>
      </c>
      <c r="C158" s="1">
        <v>2</v>
      </c>
    </row>
    <row r="159" spans="1:3" x14ac:dyDescent="0.25">
      <c r="A159" s="1" t="s">
        <v>62</v>
      </c>
      <c r="B159" s="1">
        <v>268.8</v>
      </c>
      <c r="C159" s="1">
        <v>7</v>
      </c>
    </row>
    <row r="160" spans="1:3" x14ac:dyDescent="0.25">
      <c r="A160" s="1" t="s">
        <v>9</v>
      </c>
      <c r="B160" s="1">
        <v>602.79999999999995</v>
      </c>
      <c r="C160" s="1">
        <v>12</v>
      </c>
    </row>
    <row r="161" spans="1:3" x14ac:dyDescent="0.25">
      <c r="A161" s="1" t="s">
        <v>22</v>
      </c>
      <c r="B161" s="1">
        <v>438.4</v>
      </c>
      <c r="C161" s="1">
        <v>10</v>
      </c>
    </row>
    <row r="162" spans="1:3" x14ac:dyDescent="0.25">
      <c r="A162" s="1" t="s">
        <v>50</v>
      </c>
      <c r="B162" s="1">
        <v>42.5</v>
      </c>
      <c r="C162" s="1">
        <v>1</v>
      </c>
    </row>
    <row r="163" spans="1:3" x14ac:dyDescent="0.25">
      <c r="A163" s="1" t="s">
        <v>63</v>
      </c>
      <c r="B163" s="1">
        <v>76.8</v>
      </c>
      <c r="C163" s="1">
        <v>2</v>
      </c>
    </row>
    <row r="164" spans="1:3" x14ac:dyDescent="0.25">
      <c r="A164" s="1" t="s">
        <v>35</v>
      </c>
      <c r="B164" s="1">
        <v>76.8</v>
      </c>
      <c r="C164" s="1">
        <v>2</v>
      </c>
    </row>
    <row r="165" spans="1:3" x14ac:dyDescent="0.25">
      <c r="A165" s="1" t="s">
        <v>39</v>
      </c>
      <c r="B165" s="1">
        <v>120</v>
      </c>
      <c r="C165" s="1">
        <v>4</v>
      </c>
    </row>
    <row r="166" spans="1:3" x14ac:dyDescent="0.25">
      <c r="A166" s="1" t="s">
        <v>49</v>
      </c>
      <c r="B166" s="1">
        <v>160</v>
      </c>
      <c r="C166" s="1">
        <v>4</v>
      </c>
    </row>
    <row r="167" spans="1:3" x14ac:dyDescent="0.25">
      <c r="A167" s="1" t="s">
        <v>16</v>
      </c>
      <c r="B167" s="1">
        <v>140.80000000000001</v>
      </c>
      <c r="C167" s="1">
        <v>4</v>
      </c>
    </row>
    <row r="168" spans="1:3" x14ac:dyDescent="0.25">
      <c r="A168" s="1" t="s">
        <v>53</v>
      </c>
      <c r="B168" s="1">
        <v>28.75</v>
      </c>
      <c r="C168" s="1">
        <v>1</v>
      </c>
    </row>
    <row r="169" spans="1:3" x14ac:dyDescent="0.25">
      <c r="A169" s="1" t="s">
        <v>64</v>
      </c>
      <c r="B169" s="1">
        <v>38.4</v>
      </c>
      <c r="C169" s="1">
        <v>1</v>
      </c>
    </row>
    <row r="170" spans="1:3" x14ac:dyDescent="0.25">
      <c r="A170" s="1" t="s">
        <v>36</v>
      </c>
      <c r="B170" s="1">
        <v>291.83999999999997</v>
      </c>
      <c r="C170" s="1">
        <v>9</v>
      </c>
    </row>
    <row r="171" spans="1:3" x14ac:dyDescent="0.25">
      <c r="A171" s="1" t="s">
        <v>54</v>
      </c>
      <c r="B171" s="1">
        <v>307.2</v>
      </c>
      <c r="C171" s="1">
        <v>8</v>
      </c>
    </row>
    <row r="172" spans="1:3" x14ac:dyDescent="0.25">
      <c r="A172" s="1" t="s">
        <v>42</v>
      </c>
      <c r="B172" s="1">
        <v>40</v>
      </c>
      <c r="C172" s="1">
        <v>1</v>
      </c>
    </row>
    <row r="173" spans="1:3" x14ac:dyDescent="0.25">
      <c r="A173" s="1" t="s">
        <v>56</v>
      </c>
      <c r="B173" s="1">
        <v>345.6</v>
      </c>
      <c r="C173" s="1">
        <v>9</v>
      </c>
    </row>
    <row r="174" spans="1:3" x14ac:dyDescent="0.25">
      <c r="A174" s="1" t="s">
        <v>41</v>
      </c>
      <c r="B174" s="1">
        <v>230</v>
      </c>
      <c r="C174" s="1">
        <v>8</v>
      </c>
    </row>
    <row r="175" spans="1:3" x14ac:dyDescent="0.25">
      <c r="A175" s="1" t="s">
        <v>65</v>
      </c>
      <c r="B175" s="1">
        <v>99.9</v>
      </c>
      <c r="C175" s="1">
        <v>2</v>
      </c>
    </row>
    <row r="176" spans="1:3" x14ac:dyDescent="0.25">
      <c r="A176" s="1" t="s">
        <v>66</v>
      </c>
      <c r="B176" s="1">
        <v>49.95</v>
      </c>
      <c r="C176" s="1">
        <v>1</v>
      </c>
    </row>
    <row r="177" spans="1:3" x14ac:dyDescent="0.25">
      <c r="A177" s="1" t="s">
        <v>11</v>
      </c>
      <c r="B177" s="1">
        <v>80</v>
      </c>
      <c r="C177" s="1">
        <v>2</v>
      </c>
    </row>
    <row r="178" spans="1:3" x14ac:dyDescent="0.25">
      <c r="A178" s="1" t="s">
        <v>55</v>
      </c>
      <c r="B178" s="1">
        <v>153.6</v>
      </c>
      <c r="C178" s="1">
        <v>9</v>
      </c>
    </row>
    <row r="179" spans="1:3" x14ac:dyDescent="0.25">
      <c r="A179" s="1" t="s">
        <v>57</v>
      </c>
      <c r="B179" s="1">
        <v>80</v>
      </c>
      <c r="C179" s="1">
        <v>4</v>
      </c>
    </row>
    <row r="180" spans="1:3" x14ac:dyDescent="0.25">
      <c r="A180" s="1" t="s">
        <v>67</v>
      </c>
      <c r="B180" s="1">
        <v>49.95</v>
      </c>
      <c r="C180" s="1">
        <v>1</v>
      </c>
    </row>
    <row r="181" spans="1:3" x14ac:dyDescent="0.25">
      <c r="A181" s="1" t="s">
        <v>15</v>
      </c>
      <c r="B181" s="1">
        <v>136</v>
      </c>
      <c r="C181" s="1">
        <v>2</v>
      </c>
    </row>
    <row r="182" spans="1:3" x14ac:dyDescent="0.25">
      <c r="A182" s="1" t="s">
        <v>47</v>
      </c>
      <c r="B182" s="1">
        <v>64</v>
      </c>
      <c r="C182" s="1">
        <v>1</v>
      </c>
    </row>
    <row r="183" spans="1:3" x14ac:dyDescent="0.25">
      <c r="A183" s="1" t="s">
        <v>44</v>
      </c>
      <c r="B183" s="1">
        <v>192</v>
      </c>
      <c r="C183" s="1">
        <v>6</v>
      </c>
    </row>
    <row r="184" spans="1:3" x14ac:dyDescent="0.25">
      <c r="A184" s="1" t="s">
        <v>45</v>
      </c>
      <c r="B184" s="1">
        <v>86.25</v>
      </c>
      <c r="C184" s="1">
        <v>3</v>
      </c>
    </row>
    <row r="185" spans="1:3" x14ac:dyDescent="0.25">
      <c r="A185" s="1" t="s">
        <v>52</v>
      </c>
      <c r="B185" s="1">
        <v>64</v>
      </c>
      <c r="C185" s="1">
        <v>1</v>
      </c>
    </row>
    <row r="186" spans="1:3" x14ac:dyDescent="0.25">
      <c r="A186" s="1" t="s">
        <v>68</v>
      </c>
      <c r="B186" s="1">
        <v>28.75</v>
      </c>
      <c r="C186" s="1">
        <v>1</v>
      </c>
    </row>
    <row r="187" spans="1:3" x14ac:dyDescent="0.25">
      <c r="A187" s="1" t="s">
        <v>69</v>
      </c>
      <c r="B187" s="1">
        <v>64</v>
      </c>
      <c r="C187" s="1">
        <v>1</v>
      </c>
    </row>
    <row r="188" spans="1:3" x14ac:dyDescent="0.25">
      <c r="A188" s="1" t="s">
        <v>70</v>
      </c>
      <c r="B188" s="1"/>
      <c r="C188" s="1"/>
    </row>
    <row r="189" spans="1:3" x14ac:dyDescent="0.25">
      <c r="A189" s="1" t="s">
        <v>1</v>
      </c>
      <c r="B189" s="1">
        <v>56</v>
      </c>
      <c r="C189" s="1"/>
    </row>
    <row r="190" spans="1:3" x14ac:dyDescent="0.25">
      <c r="A190" s="1" t="s">
        <v>2</v>
      </c>
      <c r="B190" s="1">
        <v>2237.71</v>
      </c>
      <c r="C190" s="1"/>
    </row>
    <row r="191" spans="1:3" x14ac:dyDescent="0.25">
      <c r="A191" s="1" t="s">
        <v>3</v>
      </c>
      <c r="B191" s="1" t="s">
        <v>4</v>
      </c>
      <c r="C191" s="1" t="s">
        <v>5</v>
      </c>
    </row>
    <row r="192" spans="1:3" x14ac:dyDescent="0.25">
      <c r="A192" s="1" t="s">
        <v>49</v>
      </c>
      <c r="B192" s="1">
        <v>120</v>
      </c>
      <c r="C192" s="1">
        <v>3</v>
      </c>
    </row>
    <row r="193" spans="1:3" x14ac:dyDescent="0.25">
      <c r="A193" s="1" t="s">
        <v>22</v>
      </c>
      <c r="B193" s="1">
        <v>54.8</v>
      </c>
      <c r="C193" s="1">
        <v>1</v>
      </c>
    </row>
    <row r="194" spans="1:3" x14ac:dyDescent="0.25">
      <c r="A194" s="1" t="s">
        <v>17</v>
      </c>
      <c r="B194" s="1">
        <v>76.8</v>
      </c>
      <c r="C194" s="1">
        <v>2</v>
      </c>
    </row>
    <row r="195" spans="1:3" x14ac:dyDescent="0.25">
      <c r="A195" s="1" t="s">
        <v>20</v>
      </c>
      <c r="B195" s="1">
        <v>499.2</v>
      </c>
      <c r="C195" s="1">
        <v>13</v>
      </c>
    </row>
    <row r="196" spans="1:3" x14ac:dyDescent="0.25">
      <c r="A196" s="1" t="s">
        <v>31</v>
      </c>
      <c r="B196" s="1">
        <v>34.56</v>
      </c>
      <c r="C196" s="1">
        <v>1</v>
      </c>
    </row>
    <row r="197" spans="1:3" x14ac:dyDescent="0.25">
      <c r="A197" s="1" t="s">
        <v>12</v>
      </c>
      <c r="B197" s="1">
        <v>210</v>
      </c>
      <c r="C197" s="1">
        <v>6</v>
      </c>
    </row>
    <row r="198" spans="1:3" x14ac:dyDescent="0.25">
      <c r="A198" s="1" t="s">
        <v>16</v>
      </c>
      <c r="B198" s="1">
        <v>35.200000000000003</v>
      </c>
      <c r="C198" s="1">
        <v>1</v>
      </c>
    </row>
    <row r="199" spans="1:3" x14ac:dyDescent="0.25">
      <c r="A199" s="1" t="s">
        <v>15</v>
      </c>
      <c r="B199" s="1">
        <v>68</v>
      </c>
      <c r="C199" s="1">
        <v>1</v>
      </c>
    </row>
    <row r="200" spans="1:3" x14ac:dyDescent="0.25">
      <c r="A200" s="1" t="s">
        <v>18</v>
      </c>
      <c r="B200" s="1">
        <v>345.6</v>
      </c>
      <c r="C200" s="1">
        <v>9</v>
      </c>
    </row>
    <row r="201" spans="1:3" x14ac:dyDescent="0.25">
      <c r="A201" s="1" t="s">
        <v>13</v>
      </c>
      <c r="B201" s="1">
        <v>38.4</v>
      </c>
      <c r="C201" s="1">
        <v>1</v>
      </c>
    </row>
    <row r="202" spans="1:3" x14ac:dyDescent="0.25">
      <c r="A202" s="1" t="s">
        <v>9</v>
      </c>
      <c r="B202" s="1">
        <v>54.8</v>
      </c>
      <c r="C202" s="1">
        <v>1</v>
      </c>
    </row>
    <row r="203" spans="1:3" x14ac:dyDescent="0.25">
      <c r="A203" s="1" t="s">
        <v>54</v>
      </c>
      <c r="B203" s="1">
        <v>153.6</v>
      </c>
      <c r="C203" s="1">
        <v>4</v>
      </c>
    </row>
    <row r="204" spans="1:3" x14ac:dyDescent="0.25">
      <c r="A204" s="1" t="s">
        <v>64</v>
      </c>
      <c r="B204" s="1">
        <v>38.4</v>
      </c>
      <c r="C204" s="1">
        <v>1</v>
      </c>
    </row>
    <row r="205" spans="1:3" x14ac:dyDescent="0.25">
      <c r="A205" s="1" t="s">
        <v>8</v>
      </c>
      <c r="B205" s="1">
        <v>109.6</v>
      </c>
      <c r="C205" s="1">
        <v>2</v>
      </c>
    </row>
    <row r="206" spans="1:3" x14ac:dyDescent="0.25">
      <c r="A206" s="1" t="s">
        <v>33</v>
      </c>
      <c r="B206" s="1">
        <v>120</v>
      </c>
      <c r="C206" s="1">
        <v>3</v>
      </c>
    </row>
    <row r="207" spans="1:3" x14ac:dyDescent="0.25">
      <c r="A207" s="1" t="s">
        <v>71</v>
      </c>
      <c r="B207" s="1">
        <v>40</v>
      </c>
      <c r="C207" s="1">
        <v>1</v>
      </c>
    </row>
    <row r="208" spans="1:3" x14ac:dyDescent="0.25">
      <c r="A208" s="1" t="s">
        <v>68</v>
      </c>
      <c r="B208" s="1">
        <v>28.75</v>
      </c>
      <c r="C208" s="1">
        <v>1</v>
      </c>
    </row>
    <row r="209" spans="1:3" x14ac:dyDescent="0.25">
      <c r="A209" s="1" t="s">
        <v>44</v>
      </c>
      <c r="B209" s="1">
        <v>115.2</v>
      </c>
      <c r="C209" s="1">
        <v>3</v>
      </c>
    </row>
    <row r="210" spans="1:3" x14ac:dyDescent="0.25">
      <c r="A210" s="1" t="s">
        <v>40</v>
      </c>
      <c r="B210" s="1">
        <v>54.8</v>
      </c>
      <c r="C210" s="1">
        <v>1</v>
      </c>
    </row>
    <row r="211" spans="1:3" x14ac:dyDescent="0.25">
      <c r="A211" s="1" t="s">
        <v>42</v>
      </c>
      <c r="B211" s="1">
        <v>40</v>
      </c>
      <c r="C211" s="1">
        <v>1</v>
      </c>
    </row>
    <row r="212" spans="1:3" x14ac:dyDescent="0.25">
      <c r="A212" s="1" t="s">
        <v>72</v>
      </c>
      <c r="B212" s="1"/>
      <c r="C212" s="1"/>
    </row>
    <row r="213" spans="1:3" x14ac:dyDescent="0.25">
      <c r="A213" s="1" t="s">
        <v>1</v>
      </c>
      <c r="B213" s="1">
        <v>72</v>
      </c>
      <c r="C213" s="1"/>
    </row>
    <row r="214" spans="1:3" x14ac:dyDescent="0.25">
      <c r="A214" s="1" t="s">
        <v>2</v>
      </c>
      <c r="B214" s="1">
        <v>2847.14</v>
      </c>
      <c r="C214" s="1"/>
    </row>
    <row r="215" spans="1:3" x14ac:dyDescent="0.25">
      <c r="A215" s="1" t="s">
        <v>3</v>
      </c>
      <c r="B215" s="1" t="s">
        <v>4</v>
      </c>
      <c r="C215" s="1" t="s">
        <v>5</v>
      </c>
    </row>
    <row r="216" spans="1:3" x14ac:dyDescent="0.25">
      <c r="A216" s="1" t="s">
        <v>51</v>
      </c>
      <c r="B216" s="1">
        <v>76.8</v>
      </c>
      <c r="C216" s="1">
        <v>2</v>
      </c>
    </row>
    <row r="217" spans="1:3" x14ac:dyDescent="0.25">
      <c r="A217" s="1" t="s">
        <v>61</v>
      </c>
      <c r="B217" s="1">
        <v>64</v>
      </c>
      <c r="C217" s="1">
        <v>1</v>
      </c>
    </row>
    <row r="218" spans="1:3" x14ac:dyDescent="0.25">
      <c r="A218" s="1" t="s">
        <v>21</v>
      </c>
      <c r="B218" s="1">
        <v>219.2</v>
      </c>
      <c r="C218" s="1">
        <v>4</v>
      </c>
    </row>
    <row r="219" spans="1:3" x14ac:dyDescent="0.25">
      <c r="A219" s="1" t="s">
        <v>8</v>
      </c>
      <c r="B219" s="1">
        <v>438.4</v>
      </c>
      <c r="C219" s="1">
        <v>8</v>
      </c>
    </row>
    <row r="220" spans="1:3" x14ac:dyDescent="0.25">
      <c r="A220" s="1" t="s">
        <v>30</v>
      </c>
      <c r="B220" s="1">
        <v>15.99</v>
      </c>
      <c r="C220" s="1">
        <v>1</v>
      </c>
    </row>
    <row r="221" spans="1:3" x14ac:dyDescent="0.25">
      <c r="A221" s="1" t="s">
        <v>20</v>
      </c>
      <c r="B221" s="1">
        <v>499.2</v>
      </c>
      <c r="C221" s="1">
        <v>14</v>
      </c>
    </row>
    <row r="222" spans="1:3" x14ac:dyDescent="0.25">
      <c r="A222" s="1" t="s">
        <v>12</v>
      </c>
      <c r="B222" s="1">
        <v>210</v>
      </c>
      <c r="C222" s="1">
        <v>6</v>
      </c>
    </row>
    <row r="223" spans="1:3" x14ac:dyDescent="0.25">
      <c r="A223" s="1" t="s">
        <v>18</v>
      </c>
      <c r="B223" s="1">
        <v>268.8</v>
      </c>
      <c r="C223" s="1">
        <v>7</v>
      </c>
    </row>
    <row r="224" spans="1:3" x14ac:dyDescent="0.25">
      <c r="A224" s="1" t="s">
        <v>17</v>
      </c>
      <c r="B224" s="1">
        <v>192</v>
      </c>
      <c r="C224" s="1">
        <v>5</v>
      </c>
    </row>
    <row r="225" spans="1:3" x14ac:dyDescent="0.25">
      <c r="A225" s="1" t="s">
        <v>40</v>
      </c>
      <c r="B225" s="1">
        <v>328.8</v>
      </c>
      <c r="C225" s="1">
        <v>6</v>
      </c>
    </row>
    <row r="226" spans="1:3" x14ac:dyDescent="0.25">
      <c r="A226" s="1" t="s">
        <v>49</v>
      </c>
      <c r="B226" s="1">
        <v>120</v>
      </c>
      <c r="C226" s="1">
        <v>3</v>
      </c>
    </row>
    <row r="227" spans="1:3" x14ac:dyDescent="0.25">
      <c r="A227" s="1" t="s">
        <v>14</v>
      </c>
      <c r="B227" s="1">
        <v>28.75</v>
      </c>
      <c r="C227" s="1">
        <v>1</v>
      </c>
    </row>
    <row r="228" spans="1:3" x14ac:dyDescent="0.25">
      <c r="A228" s="1" t="s">
        <v>16</v>
      </c>
      <c r="B228" s="1">
        <v>105.6</v>
      </c>
      <c r="C228" s="1">
        <v>4</v>
      </c>
    </row>
    <row r="229" spans="1:3" x14ac:dyDescent="0.25">
      <c r="A229" s="1" t="s">
        <v>7</v>
      </c>
      <c r="B229" s="1">
        <v>54.8</v>
      </c>
      <c r="C229" s="1">
        <v>5</v>
      </c>
    </row>
    <row r="230" spans="1:3" x14ac:dyDescent="0.25">
      <c r="A230" s="1" t="s">
        <v>33</v>
      </c>
      <c r="B230" s="1">
        <v>40</v>
      </c>
      <c r="C230" s="1">
        <v>1</v>
      </c>
    </row>
    <row r="231" spans="1:3" x14ac:dyDescent="0.25">
      <c r="A231" s="1" t="s">
        <v>54</v>
      </c>
      <c r="B231" s="1">
        <v>38.4</v>
      </c>
      <c r="C231" s="1">
        <v>1</v>
      </c>
    </row>
    <row r="232" spans="1:3" x14ac:dyDescent="0.25">
      <c r="A232" s="1" t="s">
        <v>57</v>
      </c>
      <c r="B232" s="1">
        <v>40</v>
      </c>
      <c r="C232" s="1">
        <v>1</v>
      </c>
    </row>
    <row r="233" spans="1:3" x14ac:dyDescent="0.25">
      <c r="A233" s="1" t="s">
        <v>44</v>
      </c>
      <c r="B233" s="1">
        <v>38.4</v>
      </c>
      <c r="C233" s="1">
        <v>1</v>
      </c>
    </row>
    <row r="234" spans="1:3" x14ac:dyDescent="0.25">
      <c r="A234" s="1" t="s">
        <v>15</v>
      </c>
      <c r="B234" s="1">
        <v>68</v>
      </c>
      <c r="C234" s="1">
        <v>1</v>
      </c>
    </row>
    <row r="235" spans="1:3" x14ac:dyDescent="0.25">
      <c r="A235" s="1" t="s">
        <v>73</v>
      </c>
      <c r="B235" s="1"/>
      <c r="C235" s="1"/>
    </row>
    <row r="236" spans="1:3" x14ac:dyDescent="0.25">
      <c r="A236" s="1" t="s">
        <v>1</v>
      </c>
      <c r="B236" s="1">
        <v>363</v>
      </c>
      <c r="C236" s="1"/>
    </row>
    <row r="237" spans="1:3" x14ac:dyDescent="0.25">
      <c r="A237" s="1" t="s">
        <v>2</v>
      </c>
      <c r="B237" s="1">
        <v>13905.67</v>
      </c>
      <c r="C237" s="1"/>
    </row>
    <row r="238" spans="1:3" x14ac:dyDescent="0.25">
      <c r="A238" s="1" t="s">
        <v>3</v>
      </c>
      <c r="B238" s="1" t="s">
        <v>4</v>
      </c>
      <c r="C238" s="1" t="s">
        <v>5</v>
      </c>
    </row>
    <row r="239" spans="1:3" x14ac:dyDescent="0.25">
      <c r="A239" s="1" t="s">
        <v>21</v>
      </c>
      <c r="B239" s="1">
        <v>1205.5999999999999</v>
      </c>
      <c r="C239" s="1">
        <v>22</v>
      </c>
    </row>
    <row r="240" spans="1:3" x14ac:dyDescent="0.25">
      <c r="A240" s="1" t="s">
        <v>17</v>
      </c>
      <c r="B240" s="1">
        <v>1344</v>
      </c>
      <c r="C240" s="1">
        <v>42</v>
      </c>
    </row>
    <row r="241" spans="1:3" x14ac:dyDescent="0.25">
      <c r="A241" s="1" t="s">
        <v>18</v>
      </c>
      <c r="B241" s="1">
        <v>1958.4</v>
      </c>
      <c r="C241" s="1">
        <v>52</v>
      </c>
    </row>
    <row r="242" spans="1:3" x14ac:dyDescent="0.25">
      <c r="A242" s="1" t="s">
        <v>20</v>
      </c>
      <c r="B242" s="1">
        <v>960</v>
      </c>
      <c r="C242" s="1">
        <v>28</v>
      </c>
    </row>
    <row r="243" spans="1:3" x14ac:dyDescent="0.25">
      <c r="A243" s="1" t="s">
        <v>14</v>
      </c>
      <c r="B243" s="1">
        <v>57.5</v>
      </c>
      <c r="C243" s="1">
        <v>2</v>
      </c>
    </row>
    <row r="244" spans="1:3" x14ac:dyDescent="0.25">
      <c r="A244" s="1" t="s">
        <v>12</v>
      </c>
      <c r="B244" s="1">
        <v>1295</v>
      </c>
      <c r="C244" s="1">
        <v>37</v>
      </c>
    </row>
    <row r="245" spans="1:3" x14ac:dyDescent="0.25">
      <c r="A245" s="1" t="s">
        <v>19</v>
      </c>
      <c r="B245" s="1">
        <v>86.25</v>
      </c>
      <c r="C245" s="1">
        <v>3</v>
      </c>
    </row>
    <row r="246" spans="1:3" x14ac:dyDescent="0.25">
      <c r="A246" s="1" t="s">
        <v>40</v>
      </c>
      <c r="B246" s="1">
        <v>767.2</v>
      </c>
      <c r="C246" s="1">
        <v>14</v>
      </c>
    </row>
    <row r="247" spans="1:3" x14ac:dyDescent="0.25">
      <c r="A247" s="1" t="s">
        <v>8</v>
      </c>
      <c r="B247" s="1">
        <v>1041.2</v>
      </c>
      <c r="C247" s="1">
        <v>27</v>
      </c>
    </row>
    <row r="248" spans="1:3" x14ac:dyDescent="0.25">
      <c r="A248" s="1" t="s">
        <v>10</v>
      </c>
      <c r="B248" s="1">
        <v>345.6</v>
      </c>
      <c r="C248" s="1">
        <v>9</v>
      </c>
    </row>
    <row r="249" spans="1:3" x14ac:dyDescent="0.25">
      <c r="A249" s="1" t="s">
        <v>30</v>
      </c>
      <c r="B249" s="1">
        <v>63.96</v>
      </c>
      <c r="C249" s="1">
        <v>5</v>
      </c>
    </row>
    <row r="250" spans="1:3" x14ac:dyDescent="0.25">
      <c r="A250" s="1" t="s">
        <v>26</v>
      </c>
      <c r="B250" s="1">
        <v>112.5</v>
      </c>
      <c r="C250" s="1">
        <v>3</v>
      </c>
    </row>
    <row r="251" spans="1:3" x14ac:dyDescent="0.25">
      <c r="A251" s="1" t="s">
        <v>62</v>
      </c>
      <c r="B251" s="1">
        <v>76.8</v>
      </c>
      <c r="C251" s="1">
        <v>2</v>
      </c>
    </row>
    <row r="252" spans="1:3" x14ac:dyDescent="0.25">
      <c r="A252" s="1" t="s">
        <v>28</v>
      </c>
      <c r="B252" s="1">
        <v>38.4</v>
      </c>
      <c r="C252" s="1">
        <v>1</v>
      </c>
    </row>
    <row r="253" spans="1:3" x14ac:dyDescent="0.25">
      <c r="A253" s="1" t="s">
        <v>22</v>
      </c>
      <c r="B253" s="1">
        <v>164.4</v>
      </c>
      <c r="C253" s="1">
        <v>3</v>
      </c>
    </row>
    <row r="254" spans="1:3" x14ac:dyDescent="0.25">
      <c r="A254" s="1" t="s">
        <v>6</v>
      </c>
      <c r="B254" s="1">
        <v>109.6</v>
      </c>
      <c r="C254" s="1">
        <v>2</v>
      </c>
    </row>
    <row r="255" spans="1:3" x14ac:dyDescent="0.25">
      <c r="A255" s="1" t="s">
        <v>7</v>
      </c>
      <c r="B255" s="1">
        <v>548</v>
      </c>
      <c r="C255" s="1">
        <v>11</v>
      </c>
    </row>
    <row r="256" spans="1:3" x14ac:dyDescent="0.25">
      <c r="A256" s="1" t="s">
        <v>51</v>
      </c>
      <c r="B256" s="1">
        <v>345.6</v>
      </c>
      <c r="C256" s="1">
        <v>13</v>
      </c>
    </row>
    <row r="257" spans="1:3" x14ac:dyDescent="0.25">
      <c r="A257" s="1" t="s">
        <v>35</v>
      </c>
      <c r="B257" s="1">
        <v>115.2</v>
      </c>
      <c r="C257" s="1">
        <v>3</v>
      </c>
    </row>
    <row r="258" spans="1:3" x14ac:dyDescent="0.25">
      <c r="A258" s="1" t="s">
        <v>49</v>
      </c>
      <c r="B258" s="1">
        <v>120</v>
      </c>
      <c r="C258" s="1">
        <v>3</v>
      </c>
    </row>
    <row r="259" spans="1:3" x14ac:dyDescent="0.25">
      <c r="A259" s="1" t="s">
        <v>31</v>
      </c>
      <c r="B259" s="1">
        <v>34.56</v>
      </c>
      <c r="C259" s="1">
        <v>1</v>
      </c>
    </row>
    <row r="260" spans="1:3" x14ac:dyDescent="0.25">
      <c r="A260" s="1" t="s">
        <v>74</v>
      </c>
      <c r="B260" s="1">
        <v>74</v>
      </c>
      <c r="C260" s="1">
        <v>1</v>
      </c>
    </row>
    <row r="261" spans="1:3" x14ac:dyDescent="0.25">
      <c r="A261" s="1" t="s">
        <v>33</v>
      </c>
      <c r="B261" s="1">
        <v>240</v>
      </c>
      <c r="C261" s="1">
        <v>6</v>
      </c>
    </row>
    <row r="262" spans="1:3" x14ac:dyDescent="0.25">
      <c r="A262" s="1" t="s">
        <v>32</v>
      </c>
      <c r="B262" s="1">
        <v>115.2</v>
      </c>
      <c r="C262" s="1">
        <v>3</v>
      </c>
    </row>
    <row r="263" spans="1:3" x14ac:dyDescent="0.25">
      <c r="A263" s="1" t="s">
        <v>27</v>
      </c>
      <c r="B263" s="1">
        <v>230.4</v>
      </c>
      <c r="C263" s="1">
        <v>7</v>
      </c>
    </row>
    <row r="264" spans="1:3" x14ac:dyDescent="0.25">
      <c r="A264" s="1" t="s">
        <v>64</v>
      </c>
      <c r="B264" s="1">
        <v>153.6</v>
      </c>
      <c r="C264" s="1">
        <v>4</v>
      </c>
    </row>
    <row r="265" spans="1:3" x14ac:dyDescent="0.25">
      <c r="A265" s="1" t="s">
        <v>52</v>
      </c>
      <c r="B265" s="1">
        <v>192</v>
      </c>
      <c r="C265" s="1">
        <v>3</v>
      </c>
    </row>
    <row r="266" spans="1:3" x14ac:dyDescent="0.25">
      <c r="A266" s="1" t="s">
        <v>9</v>
      </c>
      <c r="B266" s="1">
        <v>219.2</v>
      </c>
      <c r="C266" s="1">
        <v>4</v>
      </c>
    </row>
    <row r="267" spans="1:3" x14ac:dyDescent="0.25">
      <c r="A267" s="1" t="s">
        <v>54</v>
      </c>
      <c r="B267" s="1">
        <v>345.6</v>
      </c>
      <c r="C267" s="1">
        <v>9</v>
      </c>
    </row>
    <row r="268" spans="1:3" x14ac:dyDescent="0.25">
      <c r="A268" s="1" t="s">
        <v>25</v>
      </c>
      <c r="B268" s="1">
        <v>160</v>
      </c>
      <c r="C268" s="1">
        <v>4</v>
      </c>
    </row>
    <row r="269" spans="1:3" x14ac:dyDescent="0.25">
      <c r="A269" s="1" t="s">
        <v>53</v>
      </c>
      <c r="B269" s="1">
        <v>28.75</v>
      </c>
      <c r="C269" s="1">
        <v>1</v>
      </c>
    </row>
    <row r="270" spans="1:3" x14ac:dyDescent="0.25">
      <c r="A270" s="1" t="s">
        <v>13</v>
      </c>
      <c r="B270" s="1">
        <v>345.6</v>
      </c>
      <c r="C270" s="1">
        <v>10</v>
      </c>
    </row>
    <row r="271" spans="1:3" x14ac:dyDescent="0.25">
      <c r="A271" s="1" t="s">
        <v>16</v>
      </c>
      <c r="B271" s="1">
        <v>70.400000000000006</v>
      </c>
      <c r="C271" s="1">
        <v>2</v>
      </c>
    </row>
    <row r="272" spans="1:3" x14ac:dyDescent="0.25">
      <c r="A272" s="1" t="s">
        <v>56</v>
      </c>
      <c r="B272" s="1">
        <v>115.2</v>
      </c>
      <c r="C272" s="1">
        <v>3</v>
      </c>
    </row>
    <row r="273" spans="1:3" x14ac:dyDescent="0.25">
      <c r="A273" s="1" t="s">
        <v>61</v>
      </c>
      <c r="B273" s="1">
        <v>64</v>
      </c>
      <c r="C273" s="1">
        <v>1</v>
      </c>
    </row>
    <row r="274" spans="1:3" x14ac:dyDescent="0.25">
      <c r="A274" s="1" t="s">
        <v>41</v>
      </c>
      <c r="B274" s="1">
        <v>143.75</v>
      </c>
      <c r="C274" s="1">
        <v>5</v>
      </c>
    </row>
    <row r="275" spans="1:3" x14ac:dyDescent="0.25">
      <c r="A275" s="1" t="s">
        <v>42</v>
      </c>
      <c r="B275" s="1">
        <v>40</v>
      </c>
      <c r="C275" s="1">
        <v>1</v>
      </c>
    </row>
    <row r="276" spans="1:3" x14ac:dyDescent="0.25">
      <c r="A276" s="1" t="s">
        <v>55</v>
      </c>
      <c r="B276" s="1">
        <v>115.2</v>
      </c>
      <c r="C276" s="1">
        <v>4</v>
      </c>
    </row>
    <row r="277" spans="1:3" x14ac:dyDescent="0.25">
      <c r="A277" s="1" t="s">
        <v>57</v>
      </c>
      <c r="B277" s="1">
        <v>40</v>
      </c>
      <c r="C277" s="1">
        <v>1</v>
      </c>
    </row>
    <row r="278" spans="1:3" x14ac:dyDescent="0.25">
      <c r="A278" s="1" t="s">
        <v>67</v>
      </c>
      <c r="B278" s="1">
        <v>49.95</v>
      </c>
      <c r="C278" s="1">
        <v>1</v>
      </c>
    </row>
    <row r="279" spans="1:3" x14ac:dyDescent="0.25">
      <c r="A279" s="1" t="s">
        <v>43</v>
      </c>
      <c r="B279" s="1">
        <v>28.75</v>
      </c>
      <c r="C279" s="1">
        <v>1</v>
      </c>
    </row>
    <row r="280" spans="1:3" x14ac:dyDescent="0.25">
      <c r="A280" s="1" t="s">
        <v>71</v>
      </c>
      <c r="B280" s="1">
        <v>40</v>
      </c>
      <c r="C280" s="1">
        <v>1</v>
      </c>
    </row>
    <row r="281" spans="1:3" x14ac:dyDescent="0.25">
      <c r="A281" s="1" t="s">
        <v>44</v>
      </c>
      <c r="B281" s="1">
        <v>192</v>
      </c>
      <c r="C281" s="1">
        <v>5</v>
      </c>
    </row>
    <row r="282" spans="1:3" x14ac:dyDescent="0.25">
      <c r="A282" s="1" t="s">
        <v>37</v>
      </c>
      <c r="B282" s="1">
        <v>54.8</v>
      </c>
      <c r="C282" s="1">
        <v>1</v>
      </c>
    </row>
    <row r="283" spans="1:3" x14ac:dyDescent="0.25">
      <c r="A283" s="1" t="s">
        <v>45</v>
      </c>
      <c r="B283" s="1">
        <v>57.5</v>
      </c>
      <c r="C283" s="1">
        <v>2</v>
      </c>
    </row>
    <row r="284" spans="1:3" x14ac:dyDescent="0.25">
      <c r="A284" s="1" t="s">
        <v>75</v>
      </c>
      <c r="B284" s="1"/>
      <c r="C284" s="1"/>
    </row>
    <row r="285" spans="1:3" x14ac:dyDescent="0.25">
      <c r="A285" s="1" t="s">
        <v>1</v>
      </c>
      <c r="B285" s="1">
        <v>53</v>
      </c>
      <c r="C285" s="1"/>
    </row>
    <row r="286" spans="1:3" x14ac:dyDescent="0.25">
      <c r="A286" s="1" t="s">
        <v>2</v>
      </c>
      <c r="B286" s="1">
        <v>2215.3000000000002</v>
      </c>
      <c r="C286" s="1"/>
    </row>
    <row r="287" spans="1:3" x14ac:dyDescent="0.25">
      <c r="A287" s="1" t="s">
        <v>3</v>
      </c>
      <c r="B287" s="1" t="s">
        <v>4</v>
      </c>
      <c r="C287" s="1" t="s">
        <v>5</v>
      </c>
    </row>
    <row r="288" spans="1:3" x14ac:dyDescent="0.25">
      <c r="A288" s="1" t="s">
        <v>17</v>
      </c>
      <c r="B288" s="1">
        <v>115.2</v>
      </c>
      <c r="C288" s="1">
        <v>3</v>
      </c>
    </row>
    <row r="289" spans="1:3" x14ac:dyDescent="0.25">
      <c r="A289" s="1" t="s">
        <v>8</v>
      </c>
      <c r="B289" s="1">
        <v>164.4</v>
      </c>
      <c r="C289" s="1">
        <v>3</v>
      </c>
    </row>
    <row r="290" spans="1:3" x14ac:dyDescent="0.25">
      <c r="A290" s="1" t="s">
        <v>6</v>
      </c>
      <c r="B290" s="1">
        <v>54.8</v>
      </c>
      <c r="C290" s="1">
        <v>1</v>
      </c>
    </row>
    <row r="291" spans="1:3" x14ac:dyDescent="0.25">
      <c r="A291" s="1" t="s">
        <v>57</v>
      </c>
      <c r="B291" s="1">
        <v>40</v>
      </c>
      <c r="C291" s="1">
        <v>1</v>
      </c>
    </row>
    <row r="292" spans="1:3" x14ac:dyDescent="0.25">
      <c r="A292" s="1" t="s">
        <v>18</v>
      </c>
      <c r="B292" s="1">
        <v>307.2</v>
      </c>
      <c r="C292" s="1">
        <v>9</v>
      </c>
    </row>
    <row r="293" spans="1:3" x14ac:dyDescent="0.25">
      <c r="A293" s="1" t="s">
        <v>20</v>
      </c>
      <c r="B293" s="1">
        <v>307.2</v>
      </c>
      <c r="C293" s="1">
        <v>8</v>
      </c>
    </row>
    <row r="294" spans="1:3" x14ac:dyDescent="0.25">
      <c r="A294" s="1" t="s">
        <v>40</v>
      </c>
      <c r="B294" s="1">
        <v>274</v>
      </c>
      <c r="C294" s="1">
        <v>5</v>
      </c>
    </row>
    <row r="295" spans="1:3" x14ac:dyDescent="0.25">
      <c r="A295" s="1" t="s">
        <v>12</v>
      </c>
      <c r="B295" s="1">
        <v>105</v>
      </c>
      <c r="C295" s="1">
        <v>3</v>
      </c>
    </row>
    <row r="296" spans="1:3" x14ac:dyDescent="0.25">
      <c r="A296" s="1" t="s">
        <v>13</v>
      </c>
      <c r="B296" s="1">
        <v>76.8</v>
      </c>
      <c r="C296" s="1">
        <v>2</v>
      </c>
    </row>
    <row r="297" spans="1:3" x14ac:dyDescent="0.25">
      <c r="A297" s="1" t="s">
        <v>51</v>
      </c>
      <c r="B297" s="1">
        <v>115.2</v>
      </c>
      <c r="C297" s="1">
        <v>3</v>
      </c>
    </row>
    <row r="298" spans="1:3" x14ac:dyDescent="0.25">
      <c r="A298" s="1" t="s">
        <v>27</v>
      </c>
      <c r="B298" s="1">
        <v>115.2</v>
      </c>
      <c r="C298" s="1">
        <v>3</v>
      </c>
    </row>
    <row r="299" spans="1:3" x14ac:dyDescent="0.25">
      <c r="A299" s="1" t="s">
        <v>7</v>
      </c>
      <c r="B299" s="1">
        <v>54.8</v>
      </c>
      <c r="C299" s="1">
        <v>1</v>
      </c>
    </row>
    <row r="300" spans="1:3" x14ac:dyDescent="0.25">
      <c r="A300" s="1" t="s">
        <v>21</v>
      </c>
      <c r="B300" s="1">
        <v>109.6</v>
      </c>
      <c r="C300" s="1">
        <v>2</v>
      </c>
    </row>
    <row r="301" spans="1:3" x14ac:dyDescent="0.25">
      <c r="A301" s="1" t="s">
        <v>42</v>
      </c>
      <c r="B301" s="1">
        <v>40</v>
      </c>
      <c r="C301" s="1">
        <v>1</v>
      </c>
    </row>
    <row r="302" spans="1:3" x14ac:dyDescent="0.25">
      <c r="A302" s="1" t="s">
        <v>41</v>
      </c>
      <c r="B302" s="1">
        <v>28.75</v>
      </c>
      <c r="C302" s="1">
        <v>1</v>
      </c>
    </row>
    <row r="303" spans="1:3" x14ac:dyDescent="0.25">
      <c r="A303" s="1" t="s">
        <v>52</v>
      </c>
      <c r="B303" s="1">
        <v>128</v>
      </c>
      <c r="C303" s="1">
        <v>2</v>
      </c>
    </row>
    <row r="304" spans="1:3" x14ac:dyDescent="0.25">
      <c r="A304" s="1" t="s">
        <v>56</v>
      </c>
      <c r="B304" s="1">
        <v>38.4</v>
      </c>
      <c r="C304" s="1">
        <v>1</v>
      </c>
    </row>
    <row r="305" spans="1:3" x14ac:dyDescent="0.25">
      <c r="A305" s="1" t="s">
        <v>54</v>
      </c>
      <c r="B305" s="1">
        <v>38.4</v>
      </c>
      <c r="C305" s="1">
        <v>1</v>
      </c>
    </row>
    <row r="306" spans="1:3" x14ac:dyDescent="0.25">
      <c r="A306" s="1" t="s">
        <v>19</v>
      </c>
      <c r="B306" s="1">
        <v>28.75</v>
      </c>
      <c r="C306" s="1">
        <v>1</v>
      </c>
    </row>
    <row r="307" spans="1:3" x14ac:dyDescent="0.25">
      <c r="A307" s="1" t="s">
        <v>36</v>
      </c>
      <c r="B307" s="1">
        <v>38.4</v>
      </c>
      <c r="C307" s="1">
        <v>1</v>
      </c>
    </row>
    <row r="308" spans="1:3" x14ac:dyDescent="0.25">
      <c r="A308" s="1" t="s">
        <v>16</v>
      </c>
      <c r="B308" s="1">
        <v>35.200000000000003</v>
      </c>
      <c r="C308" s="1">
        <v>1</v>
      </c>
    </row>
    <row r="309" spans="1:3" x14ac:dyDescent="0.25">
      <c r="A309" s="1" t="s">
        <v>76</v>
      </c>
      <c r="B309" s="1"/>
      <c r="C309" s="1"/>
    </row>
    <row r="310" spans="1:3" x14ac:dyDescent="0.25">
      <c r="A310" s="1" t="s">
        <v>1</v>
      </c>
      <c r="B310" s="1">
        <v>105</v>
      </c>
      <c r="C310" s="1"/>
    </row>
    <row r="311" spans="1:3" x14ac:dyDescent="0.25">
      <c r="A311" s="1" t="s">
        <v>2</v>
      </c>
      <c r="B311" s="1">
        <v>4022.79</v>
      </c>
      <c r="C311" s="1"/>
    </row>
    <row r="312" spans="1:3" x14ac:dyDescent="0.25">
      <c r="A312" s="1" t="s">
        <v>3</v>
      </c>
      <c r="B312" s="1" t="s">
        <v>4</v>
      </c>
      <c r="C312" s="1" t="s">
        <v>5</v>
      </c>
    </row>
    <row r="313" spans="1:3" x14ac:dyDescent="0.25">
      <c r="A313" s="1" t="s">
        <v>30</v>
      </c>
      <c r="B313" s="1">
        <v>15.99</v>
      </c>
      <c r="C313" s="1">
        <v>2</v>
      </c>
    </row>
    <row r="314" spans="1:3" x14ac:dyDescent="0.25">
      <c r="A314" s="1" t="s">
        <v>18</v>
      </c>
      <c r="B314" s="1">
        <v>422.4</v>
      </c>
      <c r="C314" s="1">
        <v>12</v>
      </c>
    </row>
    <row r="315" spans="1:3" x14ac:dyDescent="0.25">
      <c r="A315" s="1" t="s">
        <v>17</v>
      </c>
      <c r="B315" s="1">
        <v>230.4</v>
      </c>
      <c r="C315" s="1">
        <v>6</v>
      </c>
    </row>
    <row r="316" spans="1:3" x14ac:dyDescent="0.25">
      <c r="A316" s="1" t="s">
        <v>19</v>
      </c>
      <c r="B316" s="1">
        <v>28.75</v>
      </c>
      <c r="C316" s="1">
        <v>1</v>
      </c>
    </row>
    <row r="317" spans="1:3" x14ac:dyDescent="0.25">
      <c r="A317" s="1" t="s">
        <v>20</v>
      </c>
      <c r="B317" s="1">
        <v>422.4</v>
      </c>
      <c r="C317" s="1">
        <v>11</v>
      </c>
    </row>
    <row r="318" spans="1:3" x14ac:dyDescent="0.25">
      <c r="A318" s="1" t="s">
        <v>42</v>
      </c>
      <c r="B318" s="1">
        <v>40</v>
      </c>
      <c r="C318" s="1">
        <v>1</v>
      </c>
    </row>
    <row r="319" spans="1:3" x14ac:dyDescent="0.25">
      <c r="A319" s="1" t="s">
        <v>21</v>
      </c>
      <c r="B319" s="1">
        <v>328.8</v>
      </c>
      <c r="C319" s="1">
        <v>6</v>
      </c>
    </row>
    <row r="320" spans="1:3" x14ac:dyDescent="0.25">
      <c r="A320" s="1" t="s">
        <v>7</v>
      </c>
      <c r="B320" s="1">
        <v>438.4</v>
      </c>
      <c r="C320" s="1">
        <v>17</v>
      </c>
    </row>
    <row r="321" spans="1:3" x14ac:dyDescent="0.25">
      <c r="A321" s="1" t="s">
        <v>33</v>
      </c>
      <c r="B321" s="1">
        <v>80</v>
      </c>
      <c r="C321" s="1">
        <v>2</v>
      </c>
    </row>
    <row r="322" spans="1:3" x14ac:dyDescent="0.25">
      <c r="A322" s="1" t="s">
        <v>8</v>
      </c>
      <c r="B322" s="1">
        <v>548</v>
      </c>
      <c r="C322" s="1">
        <v>11</v>
      </c>
    </row>
    <row r="323" spans="1:3" x14ac:dyDescent="0.25">
      <c r="A323" s="1" t="s">
        <v>12</v>
      </c>
      <c r="B323" s="1">
        <v>280</v>
      </c>
      <c r="C323" s="1">
        <v>8</v>
      </c>
    </row>
    <row r="324" spans="1:3" x14ac:dyDescent="0.25">
      <c r="A324" s="1" t="s">
        <v>40</v>
      </c>
      <c r="B324" s="1">
        <v>54.8</v>
      </c>
      <c r="C324" s="1">
        <v>1</v>
      </c>
    </row>
    <row r="325" spans="1:3" x14ac:dyDescent="0.25">
      <c r="A325" s="1" t="s">
        <v>49</v>
      </c>
      <c r="B325" s="1">
        <v>200</v>
      </c>
      <c r="C325" s="1">
        <v>5</v>
      </c>
    </row>
    <row r="326" spans="1:3" x14ac:dyDescent="0.25">
      <c r="A326" s="1" t="s">
        <v>14</v>
      </c>
      <c r="B326" s="1">
        <v>57.5</v>
      </c>
      <c r="C326" s="1">
        <v>2</v>
      </c>
    </row>
    <row r="327" spans="1:3" x14ac:dyDescent="0.25">
      <c r="A327" s="1" t="s">
        <v>16</v>
      </c>
      <c r="B327" s="1">
        <v>105.6</v>
      </c>
      <c r="C327" s="1">
        <v>3</v>
      </c>
    </row>
    <row r="328" spans="1:3" x14ac:dyDescent="0.25">
      <c r="A328" s="1" t="s">
        <v>22</v>
      </c>
      <c r="B328" s="1">
        <v>109.6</v>
      </c>
      <c r="C328" s="1">
        <v>2</v>
      </c>
    </row>
    <row r="329" spans="1:3" x14ac:dyDescent="0.25">
      <c r="A329" s="1" t="s">
        <v>54</v>
      </c>
      <c r="B329" s="1">
        <v>115.2</v>
      </c>
      <c r="C329" s="1">
        <v>3</v>
      </c>
    </row>
    <row r="330" spans="1:3" x14ac:dyDescent="0.25">
      <c r="A330" s="1" t="s">
        <v>55</v>
      </c>
      <c r="B330" s="1">
        <v>38.4</v>
      </c>
      <c r="C330" s="1">
        <v>1</v>
      </c>
    </row>
    <row r="331" spans="1:3" x14ac:dyDescent="0.25">
      <c r="A331" s="1" t="s">
        <v>65</v>
      </c>
      <c r="B331" s="1">
        <v>49.95</v>
      </c>
      <c r="C331" s="1">
        <v>1</v>
      </c>
    </row>
    <row r="332" spans="1:3" x14ac:dyDescent="0.25">
      <c r="A332" s="1" t="s">
        <v>15</v>
      </c>
      <c r="B332" s="1">
        <v>68</v>
      </c>
      <c r="C332" s="1">
        <v>1</v>
      </c>
    </row>
    <row r="333" spans="1:3" x14ac:dyDescent="0.25">
      <c r="A333" s="1" t="s">
        <v>67</v>
      </c>
      <c r="B333" s="1">
        <v>149.85</v>
      </c>
      <c r="C333" s="1">
        <v>3</v>
      </c>
    </row>
    <row r="334" spans="1:3" x14ac:dyDescent="0.25">
      <c r="A334" s="1" t="s">
        <v>27</v>
      </c>
      <c r="B334" s="1">
        <v>38.4</v>
      </c>
      <c r="C334" s="1">
        <v>1</v>
      </c>
    </row>
    <row r="335" spans="1:3" x14ac:dyDescent="0.25">
      <c r="A335" s="1" t="s">
        <v>56</v>
      </c>
      <c r="B335" s="1">
        <v>76.8</v>
      </c>
      <c r="C335" s="1">
        <v>2</v>
      </c>
    </row>
    <row r="336" spans="1:3" x14ac:dyDescent="0.25">
      <c r="A336" s="1" t="s">
        <v>41</v>
      </c>
      <c r="B336" s="1">
        <v>28.75</v>
      </c>
      <c r="C336" s="1">
        <v>1</v>
      </c>
    </row>
    <row r="337" spans="1:3" x14ac:dyDescent="0.25">
      <c r="A337" s="1" t="s">
        <v>59</v>
      </c>
      <c r="B337" s="1">
        <v>40</v>
      </c>
      <c r="C337" s="1">
        <v>1</v>
      </c>
    </row>
    <row r="338" spans="1:3" x14ac:dyDescent="0.25">
      <c r="A338" s="1" t="s">
        <v>37</v>
      </c>
      <c r="B338" s="1">
        <v>54.8</v>
      </c>
      <c r="C338" s="1">
        <v>1</v>
      </c>
    </row>
    <row r="339" spans="1:3" x14ac:dyDescent="0.25">
      <c r="A339" s="1" t="s">
        <v>77</v>
      </c>
      <c r="B339" s="1"/>
      <c r="C339" s="1"/>
    </row>
    <row r="340" spans="1:3" x14ac:dyDescent="0.25">
      <c r="A340" s="1" t="s">
        <v>1</v>
      </c>
      <c r="B340" s="1">
        <v>1021</v>
      </c>
      <c r="C340" s="1"/>
    </row>
    <row r="341" spans="1:3" x14ac:dyDescent="0.25">
      <c r="A341" s="1" t="s">
        <v>2</v>
      </c>
      <c r="B341" s="1">
        <v>39992.199999999997</v>
      </c>
      <c r="C341" s="1"/>
    </row>
    <row r="342" spans="1:3" x14ac:dyDescent="0.25">
      <c r="A342" s="1" t="s">
        <v>3</v>
      </c>
      <c r="B342" s="1" t="s">
        <v>4</v>
      </c>
      <c r="C342" s="1" t="s">
        <v>5</v>
      </c>
    </row>
    <row r="343" spans="1:3" x14ac:dyDescent="0.25">
      <c r="A343" s="1" t="s">
        <v>17</v>
      </c>
      <c r="B343" s="1">
        <v>3955.2</v>
      </c>
      <c r="C343" s="1">
        <v>119</v>
      </c>
    </row>
    <row r="344" spans="1:3" x14ac:dyDescent="0.25">
      <c r="A344" s="1" t="s">
        <v>20</v>
      </c>
      <c r="B344" s="1">
        <v>2726.4</v>
      </c>
      <c r="C344" s="1">
        <v>73</v>
      </c>
    </row>
    <row r="345" spans="1:3" x14ac:dyDescent="0.25">
      <c r="A345" s="1" t="s">
        <v>51</v>
      </c>
      <c r="B345" s="1">
        <v>614.4</v>
      </c>
      <c r="C345" s="1">
        <v>16</v>
      </c>
    </row>
    <row r="346" spans="1:3" x14ac:dyDescent="0.25">
      <c r="A346" s="1" t="s">
        <v>33</v>
      </c>
      <c r="B346" s="1">
        <v>880</v>
      </c>
      <c r="C346" s="1">
        <v>22</v>
      </c>
    </row>
    <row r="347" spans="1:3" x14ac:dyDescent="0.25">
      <c r="A347" s="1" t="s">
        <v>8</v>
      </c>
      <c r="B347" s="1">
        <v>1753.6</v>
      </c>
      <c r="C347" s="1">
        <v>36</v>
      </c>
    </row>
    <row r="348" spans="1:3" x14ac:dyDescent="0.25">
      <c r="A348" s="1" t="s">
        <v>21</v>
      </c>
      <c r="B348" s="1">
        <v>3288</v>
      </c>
      <c r="C348" s="1">
        <v>61</v>
      </c>
    </row>
    <row r="349" spans="1:3" x14ac:dyDescent="0.25">
      <c r="A349" s="1" t="s">
        <v>12</v>
      </c>
      <c r="B349" s="1">
        <v>2240</v>
      </c>
      <c r="C349" s="1">
        <v>67</v>
      </c>
    </row>
    <row r="350" spans="1:3" x14ac:dyDescent="0.25">
      <c r="A350" s="1" t="s">
        <v>40</v>
      </c>
      <c r="B350" s="1">
        <v>2246.8000000000002</v>
      </c>
      <c r="C350" s="1">
        <v>43</v>
      </c>
    </row>
    <row r="351" spans="1:3" x14ac:dyDescent="0.25">
      <c r="A351" s="1" t="s">
        <v>13</v>
      </c>
      <c r="B351" s="1">
        <v>998.4</v>
      </c>
      <c r="C351" s="1">
        <v>33</v>
      </c>
    </row>
    <row r="352" spans="1:3" x14ac:dyDescent="0.25">
      <c r="A352" s="1" t="s">
        <v>26</v>
      </c>
      <c r="B352" s="1">
        <v>487.5</v>
      </c>
      <c r="C352" s="1">
        <v>13</v>
      </c>
    </row>
    <row r="353" spans="1:3" x14ac:dyDescent="0.25">
      <c r="A353" s="1" t="s">
        <v>22</v>
      </c>
      <c r="B353" s="1">
        <v>657.6</v>
      </c>
      <c r="C353" s="1">
        <v>15</v>
      </c>
    </row>
    <row r="354" spans="1:3" x14ac:dyDescent="0.25">
      <c r="A354" s="1" t="s">
        <v>7</v>
      </c>
      <c r="B354" s="1">
        <v>2137.1999999999998</v>
      </c>
      <c r="C354" s="1">
        <v>45</v>
      </c>
    </row>
    <row r="355" spans="1:3" x14ac:dyDescent="0.25">
      <c r="A355" s="1" t="s">
        <v>62</v>
      </c>
      <c r="B355" s="1">
        <v>576</v>
      </c>
      <c r="C355" s="1">
        <v>16</v>
      </c>
    </row>
    <row r="356" spans="1:3" x14ac:dyDescent="0.25">
      <c r="A356" s="1" t="s">
        <v>6</v>
      </c>
      <c r="B356" s="1">
        <v>1424.8</v>
      </c>
      <c r="C356" s="1">
        <v>26</v>
      </c>
    </row>
    <row r="357" spans="1:3" x14ac:dyDescent="0.25">
      <c r="A357" s="1" t="s">
        <v>61</v>
      </c>
      <c r="B357" s="1">
        <v>384</v>
      </c>
      <c r="C357" s="1">
        <v>6</v>
      </c>
    </row>
    <row r="358" spans="1:3" x14ac:dyDescent="0.25">
      <c r="A358" s="1" t="s">
        <v>25</v>
      </c>
      <c r="B358" s="1">
        <v>280</v>
      </c>
      <c r="C358" s="1">
        <v>7</v>
      </c>
    </row>
    <row r="359" spans="1:3" x14ac:dyDescent="0.25">
      <c r="A359" s="1" t="s">
        <v>9</v>
      </c>
      <c r="B359" s="1">
        <v>328.8</v>
      </c>
      <c r="C359" s="1">
        <v>15</v>
      </c>
    </row>
    <row r="360" spans="1:3" x14ac:dyDescent="0.25">
      <c r="A360" s="1" t="s">
        <v>59</v>
      </c>
      <c r="B360" s="1">
        <v>200</v>
      </c>
      <c r="C360" s="1">
        <v>5</v>
      </c>
    </row>
    <row r="361" spans="1:3" x14ac:dyDescent="0.25">
      <c r="A361" s="1" t="s">
        <v>14</v>
      </c>
      <c r="B361" s="1">
        <v>172.5</v>
      </c>
      <c r="C361" s="1">
        <v>6</v>
      </c>
    </row>
    <row r="362" spans="1:3" x14ac:dyDescent="0.25">
      <c r="A362" s="1" t="s">
        <v>18</v>
      </c>
      <c r="B362" s="1">
        <v>5068.8</v>
      </c>
      <c r="C362" s="1">
        <v>133</v>
      </c>
    </row>
    <row r="363" spans="1:3" x14ac:dyDescent="0.25">
      <c r="A363" s="1" t="s">
        <v>11</v>
      </c>
      <c r="B363" s="1">
        <v>80</v>
      </c>
      <c r="C363" s="1">
        <v>2</v>
      </c>
    </row>
    <row r="364" spans="1:3" x14ac:dyDescent="0.25">
      <c r="A364" s="1" t="s">
        <v>52</v>
      </c>
      <c r="B364" s="1">
        <v>640</v>
      </c>
      <c r="C364" s="1">
        <v>15</v>
      </c>
    </row>
    <row r="365" spans="1:3" x14ac:dyDescent="0.25">
      <c r="A365" s="1" t="s">
        <v>35</v>
      </c>
      <c r="B365" s="1">
        <v>38.4</v>
      </c>
      <c r="C365" s="1">
        <v>1</v>
      </c>
    </row>
    <row r="366" spans="1:3" x14ac:dyDescent="0.25">
      <c r="A366" s="1" t="s">
        <v>10</v>
      </c>
      <c r="B366" s="1">
        <v>806.4</v>
      </c>
      <c r="C366" s="1">
        <v>21</v>
      </c>
    </row>
    <row r="367" spans="1:3" x14ac:dyDescent="0.25">
      <c r="A367" s="1" t="s">
        <v>31</v>
      </c>
      <c r="B367" s="1">
        <v>276.48</v>
      </c>
      <c r="C367" s="1">
        <v>8</v>
      </c>
    </row>
    <row r="368" spans="1:3" x14ac:dyDescent="0.25">
      <c r="A368" s="1" t="s">
        <v>19</v>
      </c>
      <c r="B368" s="1">
        <v>230</v>
      </c>
      <c r="C368" s="1">
        <v>9</v>
      </c>
    </row>
    <row r="369" spans="1:3" x14ac:dyDescent="0.25">
      <c r="A369" s="1" t="s">
        <v>50</v>
      </c>
      <c r="B369" s="1">
        <v>807.5</v>
      </c>
      <c r="C369" s="1">
        <v>20</v>
      </c>
    </row>
    <row r="370" spans="1:3" x14ac:dyDescent="0.25">
      <c r="A370" s="1" t="s">
        <v>29</v>
      </c>
      <c r="B370" s="1">
        <v>38.4</v>
      </c>
      <c r="C370" s="1">
        <v>2</v>
      </c>
    </row>
    <row r="371" spans="1:3" x14ac:dyDescent="0.25">
      <c r="A371" s="1" t="s">
        <v>32</v>
      </c>
      <c r="B371" s="1">
        <v>307.2</v>
      </c>
      <c r="C371" s="1">
        <v>9</v>
      </c>
    </row>
    <row r="372" spans="1:3" x14ac:dyDescent="0.25">
      <c r="A372" s="1" t="s">
        <v>27</v>
      </c>
      <c r="B372" s="1">
        <v>537.6</v>
      </c>
      <c r="C372" s="1">
        <v>15</v>
      </c>
    </row>
    <row r="373" spans="1:3" x14ac:dyDescent="0.25">
      <c r="A373" s="1" t="s">
        <v>49</v>
      </c>
      <c r="B373" s="1">
        <v>160</v>
      </c>
      <c r="C373" s="1">
        <v>4</v>
      </c>
    </row>
    <row r="374" spans="1:3" x14ac:dyDescent="0.25">
      <c r="A374" s="1" t="s">
        <v>37</v>
      </c>
      <c r="B374" s="1">
        <v>602.79999999999995</v>
      </c>
      <c r="C374" s="1">
        <v>11</v>
      </c>
    </row>
    <row r="375" spans="1:3" x14ac:dyDescent="0.25">
      <c r="A375" s="1" t="s">
        <v>64</v>
      </c>
      <c r="B375" s="1">
        <v>230.4</v>
      </c>
      <c r="C375" s="1">
        <v>7</v>
      </c>
    </row>
    <row r="376" spans="1:3" x14ac:dyDescent="0.25">
      <c r="A376" s="1" t="s">
        <v>78</v>
      </c>
      <c r="B376" s="1">
        <v>38.4</v>
      </c>
      <c r="C376" s="1">
        <v>1</v>
      </c>
    </row>
    <row r="377" spans="1:3" x14ac:dyDescent="0.25">
      <c r="A377" s="1" t="s">
        <v>47</v>
      </c>
      <c r="B377" s="1">
        <v>64</v>
      </c>
      <c r="C377" s="1">
        <v>1</v>
      </c>
    </row>
    <row r="378" spans="1:3" x14ac:dyDescent="0.25">
      <c r="A378" s="1" t="s">
        <v>30</v>
      </c>
      <c r="B378" s="1">
        <v>191.88</v>
      </c>
      <c r="C378" s="1">
        <v>12</v>
      </c>
    </row>
    <row r="379" spans="1:3" x14ac:dyDescent="0.25">
      <c r="A379" s="1" t="s">
        <v>36</v>
      </c>
      <c r="B379" s="1">
        <v>372.48</v>
      </c>
      <c r="C379" s="1">
        <v>10</v>
      </c>
    </row>
    <row r="380" spans="1:3" x14ac:dyDescent="0.25">
      <c r="A380" s="1" t="s">
        <v>54</v>
      </c>
      <c r="B380" s="1">
        <v>921.6</v>
      </c>
      <c r="C380" s="1">
        <v>24</v>
      </c>
    </row>
    <row r="381" spans="1:3" x14ac:dyDescent="0.25">
      <c r="A381" s="1" t="s">
        <v>79</v>
      </c>
      <c r="B381" s="1">
        <v>12.5</v>
      </c>
      <c r="C381" s="1">
        <v>1</v>
      </c>
    </row>
    <row r="382" spans="1:3" x14ac:dyDescent="0.25">
      <c r="A382" s="1" t="s">
        <v>80</v>
      </c>
      <c r="B382" s="1">
        <v>19.89</v>
      </c>
      <c r="C382" s="1">
        <v>1</v>
      </c>
    </row>
    <row r="383" spans="1:3" x14ac:dyDescent="0.25">
      <c r="A383" s="1" t="s">
        <v>81</v>
      </c>
      <c r="B383" s="1">
        <v>16.97</v>
      </c>
      <c r="C383" s="1">
        <v>1</v>
      </c>
    </row>
    <row r="384" spans="1:3" x14ac:dyDescent="0.25">
      <c r="A384" s="1" t="s">
        <v>41</v>
      </c>
      <c r="B384" s="1">
        <v>517.5</v>
      </c>
      <c r="C384" s="1">
        <v>18</v>
      </c>
    </row>
    <row r="385" spans="1:3" x14ac:dyDescent="0.25">
      <c r="A385" s="1" t="s">
        <v>42</v>
      </c>
      <c r="B385" s="1">
        <v>80</v>
      </c>
      <c r="C385" s="1">
        <v>2</v>
      </c>
    </row>
    <row r="386" spans="1:3" x14ac:dyDescent="0.25">
      <c r="A386" s="1" t="s">
        <v>16</v>
      </c>
      <c r="B386" s="1">
        <v>176</v>
      </c>
      <c r="C386" s="1">
        <v>5</v>
      </c>
    </row>
    <row r="387" spans="1:3" x14ac:dyDescent="0.25">
      <c r="A387" s="1" t="s">
        <v>56</v>
      </c>
      <c r="B387" s="1">
        <v>422.4</v>
      </c>
      <c r="C387" s="1">
        <v>11</v>
      </c>
    </row>
    <row r="388" spans="1:3" x14ac:dyDescent="0.25">
      <c r="A388" s="1" t="s">
        <v>55</v>
      </c>
      <c r="B388" s="1">
        <v>537.6</v>
      </c>
      <c r="C388" s="1">
        <v>16</v>
      </c>
    </row>
    <row r="389" spans="1:3" x14ac:dyDescent="0.25">
      <c r="A389" s="1" t="s">
        <v>57</v>
      </c>
      <c r="B389" s="1">
        <v>40</v>
      </c>
      <c r="C389" s="1">
        <v>1</v>
      </c>
    </row>
    <row r="390" spans="1:3" x14ac:dyDescent="0.25">
      <c r="A390" s="1" t="s">
        <v>74</v>
      </c>
      <c r="B390" s="1">
        <v>148</v>
      </c>
      <c r="C390" s="1">
        <v>2</v>
      </c>
    </row>
    <row r="391" spans="1:3" x14ac:dyDescent="0.25">
      <c r="A391" s="1" t="s">
        <v>38</v>
      </c>
      <c r="B391" s="1">
        <v>64</v>
      </c>
      <c r="C391" s="1">
        <v>1</v>
      </c>
    </row>
    <row r="392" spans="1:3" x14ac:dyDescent="0.25">
      <c r="A392" s="1" t="s">
        <v>71</v>
      </c>
      <c r="B392" s="1">
        <v>80</v>
      </c>
      <c r="C392" s="1">
        <v>2</v>
      </c>
    </row>
    <row r="393" spans="1:3" x14ac:dyDescent="0.25">
      <c r="A393" s="1" t="s">
        <v>15</v>
      </c>
      <c r="B393" s="1">
        <v>204</v>
      </c>
      <c r="C393" s="1">
        <v>3</v>
      </c>
    </row>
    <row r="394" spans="1:3" x14ac:dyDescent="0.25">
      <c r="A394" s="1" t="s">
        <v>43</v>
      </c>
      <c r="B394" s="1">
        <v>86.25</v>
      </c>
      <c r="C394" s="1">
        <v>4</v>
      </c>
    </row>
    <row r="395" spans="1:3" x14ac:dyDescent="0.25">
      <c r="A395" s="1" t="s">
        <v>44</v>
      </c>
      <c r="B395" s="1">
        <v>460.8</v>
      </c>
      <c r="C395" s="1">
        <v>13</v>
      </c>
    </row>
    <row r="396" spans="1:3" x14ac:dyDescent="0.25">
      <c r="A396" s="1" t="s">
        <v>45</v>
      </c>
      <c r="B396" s="1">
        <v>258.75</v>
      </c>
      <c r="C396" s="1">
        <v>9</v>
      </c>
    </row>
    <row r="397" spans="1:3" x14ac:dyDescent="0.25">
      <c r="A397" s="1" t="s">
        <v>39</v>
      </c>
      <c r="B397" s="1">
        <v>40</v>
      </c>
      <c r="C397" s="1">
        <v>1</v>
      </c>
    </row>
    <row r="398" spans="1:3" x14ac:dyDescent="0.25">
      <c r="A398" s="1" t="s">
        <v>34</v>
      </c>
      <c r="B398" s="1">
        <v>64</v>
      </c>
      <c r="C398" s="1">
        <v>1</v>
      </c>
    </row>
    <row r="399" spans="1:3" x14ac:dyDescent="0.25">
      <c r="A399" s="1" t="s">
        <v>82</v>
      </c>
      <c r="B399" s="1"/>
      <c r="C399" s="1"/>
    </row>
    <row r="400" spans="1:3" x14ac:dyDescent="0.25">
      <c r="A400" s="1" t="s">
        <v>1</v>
      </c>
      <c r="B400" s="1">
        <v>32</v>
      </c>
      <c r="C400" s="1"/>
    </row>
    <row r="401" spans="1:3" x14ac:dyDescent="0.25">
      <c r="A401" s="1" t="s">
        <v>2</v>
      </c>
      <c r="B401" s="1">
        <v>1367.11</v>
      </c>
      <c r="C401" s="1"/>
    </row>
    <row r="402" spans="1:3" x14ac:dyDescent="0.25">
      <c r="A402" s="1" t="s">
        <v>3</v>
      </c>
      <c r="B402" s="1" t="s">
        <v>4</v>
      </c>
      <c r="C402" s="1" t="s">
        <v>5</v>
      </c>
    </row>
    <row r="403" spans="1:3" x14ac:dyDescent="0.25">
      <c r="A403" s="1" t="s">
        <v>20</v>
      </c>
      <c r="B403" s="1">
        <v>192</v>
      </c>
      <c r="C403" s="1">
        <v>5</v>
      </c>
    </row>
    <row r="404" spans="1:3" x14ac:dyDescent="0.25">
      <c r="A404" s="1" t="s">
        <v>33</v>
      </c>
      <c r="B404" s="1">
        <v>80</v>
      </c>
      <c r="C404" s="1">
        <v>2</v>
      </c>
    </row>
    <row r="405" spans="1:3" x14ac:dyDescent="0.25">
      <c r="A405" s="1" t="s">
        <v>40</v>
      </c>
      <c r="B405" s="1">
        <v>109.6</v>
      </c>
      <c r="C405" s="1">
        <v>2</v>
      </c>
    </row>
    <row r="406" spans="1:3" x14ac:dyDescent="0.25">
      <c r="A406" s="1" t="s">
        <v>9</v>
      </c>
      <c r="B406" s="1">
        <v>164.4</v>
      </c>
      <c r="C406" s="1">
        <v>3</v>
      </c>
    </row>
    <row r="407" spans="1:3" x14ac:dyDescent="0.25">
      <c r="A407" s="1" t="s">
        <v>8</v>
      </c>
      <c r="B407" s="1">
        <v>54.8</v>
      </c>
      <c r="C407" s="1">
        <v>1</v>
      </c>
    </row>
    <row r="408" spans="1:3" x14ac:dyDescent="0.25">
      <c r="A408" s="1" t="s">
        <v>74</v>
      </c>
      <c r="B408" s="1">
        <v>74</v>
      </c>
      <c r="C408" s="1">
        <v>1</v>
      </c>
    </row>
    <row r="409" spans="1:3" x14ac:dyDescent="0.25">
      <c r="A409" s="1" t="s">
        <v>31</v>
      </c>
      <c r="B409" s="1">
        <v>34.56</v>
      </c>
      <c r="C409" s="1">
        <v>1</v>
      </c>
    </row>
    <row r="410" spans="1:3" x14ac:dyDescent="0.25">
      <c r="A410" s="1" t="s">
        <v>49</v>
      </c>
      <c r="B410" s="1">
        <v>120</v>
      </c>
      <c r="C410" s="1">
        <v>3</v>
      </c>
    </row>
    <row r="411" spans="1:3" x14ac:dyDescent="0.25">
      <c r="A411" s="1" t="s">
        <v>18</v>
      </c>
      <c r="B411" s="1">
        <v>115.2</v>
      </c>
      <c r="C411" s="1">
        <v>3</v>
      </c>
    </row>
    <row r="412" spans="1:3" x14ac:dyDescent="0.25">
      <c r="A412" s="1" t="s">
        <v>10</v>
      </c>
      <c r="B412" s="1">
        <v>76.8</v>
      </c>
      <c r="C412" s="1">
        <v>2</v>
      </c>
    </row>
    <row r="413" spans="1:3" x14ac:dyDescent="0.25">
      <c r="A413" s="1" t="s">
        <v>17</v>
      </c>
      <c r="B413" s="1">
        <v>153.6</v>
      </c>
      <c r="C413" s="1">
        <v>4</v>
      </c>
    </row>
    <row r="414" spans="1:3" x14ac:dyDescent="0.25">
      <c r="A414" s="1" t="s">
        <v>22</v>
      </c>
      <c r="B414" s="1">
        <v>54.8</v>
      </c>
      <c r="C414" s="1">
        <v>1</v>
      </c>
    </row>
    <row r="415" spans="1:3" x14ac:dyDescent="0.25">
      <c r="A415" s="1" t="s">
        <v>16</v>
      </c>
      <c r="B415" s="1">
        <v>35.200000000000003</v>
      </c>
      <c r="C415" s="1">
        <v>1</v>
      </c>
    </row>
    <row r="416" spans="1:3" x14ac:dyDescent="0.25">
      <c r="A416" s="1" t="s">
        <v>12</v>
      </c>
      <c r="B416" s="1">
        <v>35</v>
      </c>
      <c r="C416" s="1">
        <v>1</v>
      </c>
    </row>
    <row r="417" spans="1:3" x14ac:dyDescent="0.25">
      <c r="A417" s="1" t="s">
        <v>45</v>
      </c>
      <c r="B417" s="1">
        <v>28.75</v>
      </c>
      <c r="C417" s="1">
        <v>1</v>
      </c>
    </row>
    <row r="418" spans="1:3" x14ac:dyDescent="0.25">
      <c r="A418" s="1" t="s">
        <v>51</v>
      </c>
      <c r="B418" s="1">
        <v>38.4</v>
      </c>
      <c r="C418" s="1">
        <v>1</v>
      </c>
    </row>
    <row r="419" spans="1:3" x14ac:dyDescent="0.25">
      <c r="A419" s="1" t="s">
        <v>83</v>
      </c>
      <c r="B419" s="1"/>
      <c r="C419" s="1"/>
    </row>
    <row r="420" spans="1:3" x14ac:dyDescent="0.25">
      <c r="A420" s="1" t="s">
        <v>1</v>
      </c>
      <c r="B420" s="1">
        <v>65</v>
      </c>
      <c r="C420" s="1"/>
    </row>
    <row r="421" spans="1:3" x14ac:dyDescent="0.25">
      <c r="A421" s="1" t="s">
        <v>2</v>
      </c>
      <c r="B421" s="1">
        <v>2670.84</v>
      </c>
      <c r="C421" s="1"/>
    </row>
    <row r="422" spans="1:3" x14ac:dyDescent="0.25">
      <c r="A422" s="1" t="s">
        <v>3</v>
      </c>
      <c r="B422" s="1" t="s">
        <v>4</v>
      </c>
      <c r="C422" s="1" t="s">
        <v>5</v>
      </c>
    </row>
    <row r="423" spans="1:3" x14ac:dyDescent="0.25">
      <c r="A423" s="1" t="s">
        <v>49</v>
      </c>
      <c r="B423" s="1">
        <v>80</v>
      </c>
      <c r="C423" s="1">
        <v>2</v>
      </c>
    </row>
    <row r="424" spans="1:3" x14ac:dyDescent="0.25">
      <c r="A424" s="1" t="s">
        <v>8</v>
      </c>
      <c r="B424" s="1">
        <v>383.6</v>
      </c>
      <c r="C424" s="1">
        <v>7</v>
      </c>
    </row>
    <row r="425" spans="1:3" x14ac:dyDescent="0.25">
      <c r="A425" s="1" t="s">
        <v>12</v>
      </c>
      <c r="B425" s="1">
        <v>245</v>
      </c>
      <c r="C425" s="1">
        <v>8</v>
      </c>
    </row>
    <row r="426" spans="1:3" x14ac:dyDescent="0.25">
      <c r="A426" s="1" t="s">
        <v>62</v>
      </c>
      <c r="B426" s="1">
        <v>76.8</v>
      </c>
      <c r="C426" s="1">
        <v>2</v>
      </c>
    </row>
    <row r="427" spans="1:3" x14ac:dyDescent="0.25">
      <c r="A427" s="1" t="s">
        <v>21</v>
      </c>
      <c r="B427" s="1">
        <v>219.2</v>
      </c>
      <c r="C427" s="1">
        <v>4</v>
      </c>
    </row>
    <row r="428" spans="1:3" x14ac:dyDescent="0.25">
      <c r="A428" s="1" t="s">
        <v>40</v>
      </c>
      <c r="B428" s="1">
        <v>164.4</v>
      </c>
      <c r="C428" s="1">
        <v>3</v>
      </c>
    </row>
    <row r="429" spans="1:3" x14ac:dyDescent="0.25">
      <c r="A429" s="1" t="s">
        <v>14</v>
      </c>
      <c r="B429" s="1">
        <v>28.75</v>
      </c>
      <c r="C429" s="1">
        <v>1</v>
      </c>
    </row>
    <row r="430" spans="1:3" x14ac:dyDescent="0.25">
      <c r="A430" s="1" t="s">
        <v>19</v>
      </c>
      <c r="B430" s="1">
        <v>28.75</v>
      </c>
      <c r="C430" s="1">
        <v>1</v>
      </c>
    </row>
    <row r="431" spans="1:3" x14ac:dyDescent="0.25">
      <c r="A431" s="1" t="s">
        <v>33</v>
      </c>
      <c r="B431" s="1">
        <v>80</v>
      </c>
      <c r="C431" s="1">
        <v>2</v>
      </c>
    </row>
    <row r="432" spans="1:3" x14ac:dyDescent="0.25">
      <c r="A432" s="1" t="s">
        <v>20</v>
      </c>
      <c r="B432" s="1">
        <v>153.6</v>
      </c>
      <c r="C432" s="1">
        <v>4</v>
      </c>
    </row>
    <row r="433" spans="1:3" x14ac:dyDescent="0.25">
      <c r="A433" s="1" t="s">
        <v>17</v>
      </c>
      <c r="B433" s="1">
        <v>230.4</v>
      </c>
      <c r="C433" s="1">
        <v>6</v>
      </c>
    </row>
    <row r="434" spans="1:3" x14ac:dyDescent="0.25">
      <c r="A434" s="1" t="s">
        <v>32</v>
      </c>
      <c r="B434" s="1">
        <v>76.8</v>
      </c>
      <c r="C434" s="1">
        <v>2</v>
      </c>
    </row>
    <row r="435" spans="1:3" x14ac:dyDescent="0.25">
      <c r="A435" s="1" t="s">
        <v>18</v>
      </c>
      <c r="B435" s="1">
        <v>499.2</v>
      </c>
      <c r="C435" s="1">
        <v>13</v>
      </c>
    </row>
    <row r="436" spans="1:3" x14ac:dyDescent="0.25">
      <c r="A436" s="1" t="s">
        <v>57</v>
      </c>
      <c r="B436" s="1">
        <v>40</v>
      </c>
      <c r="C436" s="1">
        <v>1</v>
      </c>
    </row>
    <row r="437" spans="1:3" x14ac:dyDescent="0.25">
      <c r="A437" s="1" t="s">
        <v>64</v>
      </c>
      <c r="B437" s="1">
        <v>38.4</v>
      </c>
      <c r="C437" s="1">
        <v>1</v>
      </c>
    </row>
    <row r="438" spans="1:3" x14ac:dyDescent="0.25">
      <c r="A438" s="1" t="s">
        <v>51</v>
      </c>
      <c r="B438" s="1">
        <v>38.4</v>
      </c>
      <c r="C438" s="1">
        <v>1</v>
      </c>
    </row>
    <row r="439" spans="1:3" x14ac:dyDescent="0.25">
      <c r="A439" s="1" t="s">
        <v>41</v>
      </c>
      <c r="B439" s="1">
        <v>28.75</v>
      </c>
      <c r="C439" s="1">
        <v>1</v>
      </c>
    </row>
    <row r="440" spans="1:3" x14ac:dyDescent="0.25">
      <c r="A440" s="1" t="s">
        <v>25</v>
      </c>
      <c r="B440" s="1">
        <v>40</v>
      </c>
      <c r="C440" s="1">
        <v>1</v>
      </c>
    </row>
    <row r="441" spans="1:3" x14ac:dyDescent="0.25">
      <c r="A441" s="1" t="s">
        <v>7</v>
      </c>
      <c r="B441" s="1">
        <v>54.8</v>
      </c>
      <c r="C441" s="1">
        <v>1</v>
      </c>
    </row>
    <row r="442" spans="1:3" x14ac:dyDescent="0.25">
      <c r="A442" s="1" t="s">
        <v>30</v>
      </c>
      <c r="B442" s="1">
        <v>15.99</v>
      </c>
      <c r="C442" s="1">
        <v>1</v>
      </c>
    </row>
    <row r="443" spans="1:3" x14ac:dyDescent="0.25">
      <c r="A443" s="1" t="s">
        <v>22</v>
      </c>
      <c r="B443" s="1">
        <v>54.8</v>
      </c>
      <c r="C443" s="1">
        <v>1</v>
      </c>
    </row>
    <row r="444" spans="1:3" x14ac:dyDescent="0.25">
      <c r="A444" s="1" t="s">
        <v>6</v>
      </c>
      <c r="B444" s="1">
        <v>54.8</v>
      </c>
      <c r="C444" s="1">
        <v>1</v>
      </c>
    </row>
    <row r="445" spans="1:3" x14ac:dyDescent="0.25">
      <c r="A445" s="1" t="s">
        <v>44</v>
      </c>
      <c r="B445" s="1">
        <v>38.4</v>
      </c>
      <c r="C445" s="1">
        <v>1</v>
      </c>
    </row>
    <row r="446" spans="1:3" x14ac:dyDescent="0.25">
      <c r="A446" s="1" t="s">
        <v>84</v>
      </c>
      <c r="B446" s="1"/>
      <c r="C446" s="1"/>
    </row>
    <row r="447" spans="1:3" x14ac:dyDescent="0.25">
      <c r="A447" s="1" t="s">
        <v>1</v>
      </c>
      <c r="B447" s="1">
        <v>92</v>
      </c>
      <c r="C447" s="1"/>
    </row>
    <row r="448" spans="1:3" x14ac:dyDescent="0.25">
      <c r="A448" s="1" t="s">
        <v>2</v>
      </c>
      <c r="B448" s="1">
        <v>3908.09</v>
      </c>
      <c r="C448" s="1"/>
    </row>
    <row r="449" spans="1:3" x14ac:dyDescent="0.25">
      <c r="A449" s="1" t="s">
        <v>3</v>
      </c>
      <c r="B449" s="1" t="s">
        <v>4</v>
      </c>
      <c r="C449" s="1" t="s">
        <v>5</v>
      </c>
    </row>
    <row r="450" spans="1:3" x14ac:dyDescent="0.25">
      <c r="A450" s="1" t="s">
        <v>20</v>
      </c>
      <c r="B450" s="1">
        <v>499.2</v>
      </c>
      <c r="C450" s="1">
        <v>13</v>
      </c>
    </row>
    <row r="451" spans="1:3" x14ac:dyDescent="0.25">
      <c r="A451" s="1" t="s">
        <v>17</v>
      </c>
      <c r="B451" s="1">
        <v>307.2</v>
      </c>
      <c r="C451" s="1">
        <v>8</v>
      </c>
    </row>
    <row r="452" spans="1:3" x14ac:dyDescent="0.25">
      <c r="A452" s="1" t="s">
        <v>6</v>
      </c>
      <c r="B452" s="1">
        <v>54.8</v>
      </c>
      <c r="C452" s="1">
        <v>1</v>
      </c>
    </row>
    <row r="453" spans="1:3" x14ac:dyDescent="0.25">
      <c r="A453" s="1" t="s">
        <v>16</v>
      </c>
      <c r="B453" s="1">
        <v>246.4</v>
      </c>
      <c r="C453" s="1">
        <v>7</v>
      </c>
    </row>
    <row r="454" spans="1:3" x14ac:dyDescent="0.25">
      <c r="A454" s="1" t="s">
        <v>52</v>
      </c>
      <c r="B454" s="1">
        <v>128</v>
      </c>
      <c r="C454" s="1">
        <v>3</v>
      </c>
    </row>
    <row r="455" spans="1:3" x14ac:dyDescent="0.25">
      <c r="A455" s="1" t="s">
        <v>12</v>
      </c>
      <c r="B455" s="1">
        <v>315</v>
      </c>
      <c r="C455" s="1">
        <v>9</v>
      </c>
    </row>
    <row r="456" spans="1:3" x14ac:dyDescent="0.25">
      <c r="A456" s="1" t="s">
        <v>57</v>
      </c>
      <c r="B456" s="1">
        <v>80</v>
      </c>
      <c r="C456" s="1">
        <v>2</v>
      </c>
    </row>
    <row r="457" spans="1:3" x14ac:dyDescent="0.25">
      <c r="A457" s="1" t="s">
        <v>33</v>
      </c>
      <c r="B457" s="1">
        <v>40</v>
      </c>
      <c r="C457" s="1">
        <v>1</v>
      </c>
    </row>
    <row r="458" spans="1:3" x14ac:dyDescent="0.25">
      <c r="A458" s="1" t="s">
        <v>62</v>
      </c>
      <c r="B458" s="1">
        <v>38.4</v>
      </c>
      <c r="C458" s="1">
        <v>1</v>
      </c>
    </row>
    <row r="459" spans="1:3" x14ac:dyDescent="0.25">
      <c r="A459" s="1" t="s">
        <v>15</v>
      </c>
      <c r="B459" s="1">
        <v>340</v>
      </c>
      <c r="C459" s="1">
        <v>5</v>
      </c>
    </row>
    <row r="460" spans="1:3" x14ac:dyDescent="0.25">
      <c r="A460" s="1" t="s">
        <v>40</v>
      </c>
      <c r="B460" s="1">
        <v>164.4</v>
      </c>
      <c r="C460" s="1">
        <v>3</v>
      </c>
    </row>
    <row r="461" spans="1:3" x14ac:dyDescent="0.25">
      <c r="A461" s="1" t="s">
        <v>8</v>
      </c>
      <c r="B461" s="1">
        <v>328.8</v>
      </c>
      <c r="C461" s="1">
        <v>6</v>
      </c>
    </row>
    <row r="462" spans="1:3" x14ac:dyDescent="0.25">
      <c r="A462" s="1" t="s">
        <v>69</v>
      </c>
      <c r="B462" s="1">
        <v>64</v>
      </c>
      <c r="C462" s="1">
        <v>1</v>
      </c>
    </row>
    <row r="463" spans="1:3" x14ac:dyDescent="0.25">
      <c r="A463" s="1" t="s">
        <v>54</v>
      </c>
      <c r="B463" s="1">
        <v>230.4</v>
      </c>
      <c r="C463" s="1">
        <v>6</v>
      </c>
    </row>
    <row r="464" spans="1:3" x14ac:dyDescent="0.25">
      <c r="A464" s="1" t="s">
        <v>49</v>
      </c>
      <c r="B464" s="1">
        <v>80</v>
      </c>
      <c r="C464" s="1">
        <v>2</v>
      </c>
    </row>
    <row r="465" spans="1:3" x14ac:dyDescent="0.25">
      <c r="A465" s="1" t="s">
        <v>21</v>
      </c>
      <c r="B465" s="1">
        <v>274</v>
      </c>
      <c r="C465" s="1">
        <v>5</v>
      </c>
    </row>
    <row r="466" spans="1:3" x14ac:dyDescent="0.25">
      <c r="A466" s="1" t="s">
        <v>18</v>
      </c>
      <c r="B466" s="1">
        <v>230.4</v>
      </c>
      <c r="C466" s="1">
        <v>6</v>
      </c>
    </row>
    <row r="467" spans="1:3" x14ac:dyDescent="0.25">
      <c r="A467" s="1" t="s">
        <v>22</v>
      </c>
      <c r="B467" s="1">
        <v>274</v>
      </c>
      <c r="C467" s="1">
        <v>6</v>
      </c>
    </row>
    <row r="468" spans="1:3" x14ac:dyDescent="0.25">
      <c r="A468" s="1" t="s">
        <v>19</v>
      </c>
      <c r="B468" s="1">
        <v>28.75</v>
      </c>
      <c r="C468" s="1">
        <v>1</v>
      </c>
    </row>
    <row r="469" spans="1:3" x14ac:dyDescent="0.25">
      <c r="A469" s="1" t="s">
        <v>25</v>
      </c>
      <c r="B469" s="1">
        <v>40</v>
      </c>
      <c r="C469" s="1">
        <v>1</v>
      </c>
    </row>
    <row r="470" spans="1:3" x14ac:dyDescent="0.25">
      <c r="A470" s="1" t="s">
        <v>30</v>
      </c>
      <c r="B470" s="1">
        <v>15.99</v>
      </c>
      <c r="C470" s="1">
        <v>1</v>
      </c>
    </row>
    <row r="471" spans="1:3" x14ac:dyDescent="0.25">
      <c r="A471" s="1" t="s">
        <v>59</v>
      </c>
      <c r="B471" s="1">
        <v>40</v>
      </c>
      <c r="C471" s="1">
        <v>1</v>
      </c>
    </row>
    <row r="472" spans="1:3" x14ac:dyDescent="0.25">
      <c r="A472" s="1" t="s">
        <v>67</v>
      </c>
      <c r="B472" s="1">
        <v>49.95</v>
      </c>
      <c r="C472" s="1">
        <v>1</v>
      </c>
    </row>
    <row r="473" spans="1:3" x14ac:dyDescent="0.25">
      <c r="A473" s="1" t="s">
        <v>44</v>
      </c>
      <c r="B473" s="1">
        <v>38.4</v>
      </c>
      <c r="C473" s="1">
        <v>2</v>
      </c>
    </row>
    <row r="474" spans="1:3" x14ac:dyDescent="0.25">
      <c r="A474" s="1" t="s">
        <v>85</v>
      </c>
      <c r="B474" s="1"/>
      <c r="C474" s="1"/>
    </row>
    <row r="475" spans="1:3" x14ac:dyDescent="0.25">
      <c r="A475" s="1" t="s">
        <v>1</v>
      </c>
      <c r="B475" s="1">
        <v>119</v>
      </c>
      <c r="C475" s="1"/>
    </row>
    <row r="476" spans="1:3" x14ac:dyDescent="0.25">
      <c r="A476" s="1" t="s">
        <v>2</v>
      </c>
      <c r="B476" s="1">
        <v>4567.71</v>
      </c>
      <c r="C476" s="1"/>
    </row>
    <row r="477" spans="1:3" x14ac:dyDescent="0.25">
      <c r="A477" s="1" t="s">
        <v>3</v>
      </c>
      <c r="B477" s="1" t="s">
        <v>4</v>
      </c>
      <c r="C477" s="1" t="s">
        <v>5</v>
      </c>
    </row>
    <row r="478" spans="1:3" x14ac:dyDescent="0.25">
      <c r="A478" s="1" t="s">
        <v>20</v>
      </c>
      <c r="B478" s="1">
        <v>576</v>
      </c>
      <c r="C478" s="1">
        <v>15</v>
      </c>
    </row>
    <row r="479" spans="1:3" x14ac:dyDescent="0.25">
      <c r="A479" s="1" t="s">
        <v>49</v>
      </c>
      <c r="B479" s="1">
        <v>760</v>
      </c>
      <c r="C479" s="1">
        <v>19</v>
      </c>
    </row>
    <row r="480" spans="1:3" x14ac:dyDescent="0.25">
      <c r="A480" s="1" t="s">
        <v>12</v>
      </c>
      <c r="B480" s="1">
        <v>280</v>
      </c>
      <c r="C480" s="1">
        <v>8</v>
      </c>
    </row>
    <row r="481" spans="1:3" x14ac:dyDescent="0.25">
      <c r="A481" s="1" t="s">
        <v>21</v>
      </c>
      <c r="B481" s="1">
        <v>274</v>
      </c>
      <c r="C481" s="1">
        <v>5</v>
      </c>
    </row>
    <row r="482" spans="1:3" x14ac:dyDescent="0.25">
      <c r="A482" s="1" t="s">
        <v>17</v>
      </c>
      <c r="B482" s="1">
        <v>422.4</v>
      </c>
      <c r="C482" s="1">
        <v>12</v>
      </c>
    </row>
    <row r="483" spans="1:3" x14ac:dyDescent="0.25">
      <c r="A483" s="1" t="s">
        <v>13</v>
      </c>
      <c r="B483" s="1">
        <v>76.8</v>
      </c>
      <c r="C483" s="1">
        <v>2</v>
      </c>
    </row>
    <row r="484" spans="1:3" x14ac:dyDescent="0.25">
      <c r="A484" s="1" t="s">
        <v>8</v>
      </c>
      <c r="B484" s="1">
        <v>274</v>
      </c>
      <c r="C484" s="1">
        <v>6</v>
      </c>
    </row>
    <row r="485" spans="1:3" x14ac:dyDescent="0.25">
      <c r="A485" s="1" t="s">
        <v>52</v>
      </c>
      <c r="B485" s="1">
        <v>64</v>
      </c>
      <c r="C485" s="1">
        <v>1</v>
      </c>
    </row>
    <row r="486" spans="1:3" x14ac:dyDescent="0.25">
      <c r="A486" s="1" t="s">
        <v>7</v>
      </c>
      <c r="B486" s="1">
        <v>109.6</v>
      </c>
      <c r="C486" s="1">
        <v>3</v>
      </c>
    </row>
    <row r="487" spans="1:3" x14ac:dyDescent="0.25">
      <c r="A487" s="1" t="s">
        <v>35</v>
      </c>
      <c r="B487" s="1">
        <v>38.4</v>
      </c>
      <c r="C487" s="1">
        <v>1</v>
      </c>
    </row>
    <row r="488" spans="1:3" x14ac:dyDescent="0.25">
      <c r="A488" s="1" t="s">
        <v>18</v>
      </c>
      <c r="B488" s="1">
        <v>422.4</v>
      </c>
      <c r="C488" s="1">
        <v>11</v>
      </c>
    </row>
    <row r="489" spans="1:3" x14ac:dyDescent="0.25">
      <c r="A489" s="1" t="s">
        <v>15</v>
      </c>
      <c r="B489" s="1">
        <v>136</v>
      </c>
      <c r="C489" s="1">
        <v>2</v>
      </c>
    </row>
    <row r="490" spans="1:3" x14ac:dyDescent="0.25">
      <c r="A490" s="1" t="s">
        <v>16</v>
      </c>
      <c r="B490" s="1">
        <v>176</v>
      </c>
      <c r="C490" s="1">
        <v>7</v>
      </c>
    </row>
    <row r="491" spans="1:3" x14ac:dyDescent="0.25">
      <c r="A491" s="1" t="s">
        <v>22</v>
      </c>
      <c r="B491" s="1">
        <v>54.8</v>
      </c>
      <c r="C491" s="1">
        <v>1</v>
      </c>
    </row>
    <row r="492" spans="1:3" x14ac:dyDescent="0.25">
      <c r="A492" s="1" t="s">
        <v>26</v>
      </c>
      <c r="B492" s="1">
        <v>37.5</v>
      </c>
      <c r="C492" s="1">
        <v>1</v>
      </c>
    </row>
    <row r="493" spans="1:3" x14ac:dyDescent="0.25">
      <c r="A493" s="1" t="s">
        <v>33</v>
      </c>
      <c r="B493" s="1">
        <v>80</v>
      </c>
      <c r="C493" s="1">
        <v>2</v>
      </c>
    </row>
    <row r="494" spans="1:3" x14ac:dyDescent="0.25">
      <c r="A494" s="1" t="s">
        <v>6</v>
      </c>
      <c r="B494" s="1">
        <v>54.8</v>
      </c>
      <c r="C494" s="1">
        <v>1</v>
      </c>
    </row>
    <row r="495" spans="1:3" x14ac:dyDescent="0.25">
      <c r="A495" s="1" t="s">
        <v>62</v>
      </c>
      <c r="B495" s="1">
        <v>38.4</v>
      </c>
      <c r="C495" s="1">
        <v>1</v>
      </c>
    </row>
    <row r="496" spans="1:3" x14ac:dyDescent="0.25">
      <c r="A496" s="1" t="s">
        <v>31</v>
      </c>
      <c r="B496" s="1">
        <v>34.56</v>
      </c>
      <c r="C496" s="1">
        <v>1</v>
      </c>
    </row>
    <row r="497" spans="1:3" x14ac:dyDescent="0.25">
      <c r="A497" s="1" t="s">
        <v>54</v>
      </c>
      <c r="B497" s="1">
        <v>76.8</v>
      </c>
      <c r="C497" s="1">
        <v>2</v>
      </c>
    </row>
    <row r="498" spans="1:3" x14ac:dyDescent="0.25">
      <c r="A498" s="1" t="s">
        <v>50</v>
      </c>
      <c r="B498" s="1">
        <v>42.5</v>
      </c>
      <c r="C498" s="1">
        <v>1</v>
      </c>
    </row>
    <row r="499" spans="1:3" x14ac:dyDescent="0.25">
      <c r="A499" s="1" t="s">
        <v>32</v>
      </c>
      <c r="B499" s="1">
        <v>76.8</v>
      </c>
      <c r="C499" s="1">
        <v>4</v>
      </c>
    </row>
    <row r="500" spans="1:3" x14ac:dyDescent="0.25">
      <c r="A500" s="1" t="s">
        <v>40</v>
      </c>
      <c r="B500" s="1">
        <v>164.4</v>
      </c>
      <c r="C500" s="1">
        <v>3</v>
      </c>
    </row>
    <row r="501" spans="1:3" x14ac:dyDescent="0.25">
      <c r="A501" s="1" t="s">
        <v>27</v>
      </c>
      <c r="B501" s="1">
        <v>76.8</v>
      </c>
      <c r="C501" s="1">
        <v>2</v>
      </c>
    </row>
    <row r="502" spans="1:3" x14ac:dyDescent="0.25">
      <c r="A502" s="1" t="s">
        <v>56</v>
      </c>
      <c r="B502" s="1">
        <v>76.8</v>
      </c>
      <c r="C502" s="1">
        <v>2</v>
      </c>
    </row>
    <row r="503" spans="1:3" x14ac:dyDescent="0.25">
      <c r="A503" s="1" t="s">
        <v>44</v>
      </c>
      <c r="B503" s="1">
        <v>76.8</v>
      </c>
      <c r="C503" s="1">
        <v>3</v>
      </c>
    </row>
    <row r="504" spans="1:3" x14ac:dyDescent="0.25">
      <c r="A504" s="1" t="s">
        <v>45</v>
      </c>
      <c r="B504" s="1">
        <v>28.75</v>
      </c>
      <c r="C504" s="1">
        <v>1</v>
      </c>
    </row>
    <row r="505" spans="1:3" x14ac:dyDescent="0.25">
      <c r="A505" s="1" t="s">
        <v>36</v>
      </c>
      <c r="B505" s="1">
        <v>38.4</v>
      </c>
      <c r="C505" s="1">
        <v>2</v>
      </c>
    </row>
    <row r="506" spans="1:3" x14ac:dyDescent="0.25">
      <c r="A506" s="1" t="s">
        <v>86</v>
      </c>
      <c r="B506" s="1"/>
      <c r="C506" s="1"/>
    </row>
    <row r="507" spans="1:3" x14ac:dyDescent="0.25">
      <c r="A507" s="1" t="s">
        <v>1</v>
      </c>
      <c r="B507" s="1">
        <v>238</v>
      </c>
      <c r="C507" s="1"/>
    </row>
    <row r="508" spans="1:3" x14ac:dyDescent="0.25">
      <c r="A508" s="1" t="s">
        <v>2</v>
      </c>
      <c r="B508" s="1">
        <v>9586.19</v>
      </c>
      <c r="C508" s="1"/>
    </row>
    <row r="509" spans="1:3" x14ac:dyDescent="0.25">
      <c r="A509" s="1" t="s">
        <v>3</v>
      </c>
      <c r="B509" s="1" t="s">
        <v>4</v>
      </c>
      <c r="C509" s="1" t="s">
        <v>5</v>
      </c>
    </row>
    <row r="510" spans="1:3" x14ac:dyDescent="0.25">
      <c r="A510" s="1" t="s">
        <v>17</v>
      </c>
      <c r="B510" s="1">
        <v>1267.2</v>
      </c>
      <c r="C510" s="1">
        <v>38</v>
      </c>
    </row>
    <row r="511" spans="1:3" x14ac:dyDescent="0.25">
      <c r="A511" s="1" t="s">
        <v>22</v>
      </c>
      <c r="B511" s="1">
        <v>274</v>
      </c>
      <c r="C511" s="1">
        <v>5</v>
      </c>
    </row>
    <row r="512" spans="1:3" x14ac:dyDescent="0.25">
      <c r="A512" s="1" t="s">
        <v>10</v>
      </c>
      <c r="B512" s="1">
        <v>115.2</v>
      </c>
      <c r="C512" s="1">
        <v>3</v>
      </c>
    </row>
    <row r="513" spans="1:3" x14ac:dyDescent="0.25">
      <c r="A513" s="1" t="s">
        <v>9</v>
      </c>
      <c r="B513" s="1">
        <v>109.6</v>
      </c>
      <c r="C513" s="1">
        <v>2</v>
      </c>
    </row>
    <row r="514" spans="1:3" x14ac:dyDescent="0.25">
      <c r="A514" s="1" t="s">
        <v>18</v>
      </c>
      <c r="B514" s="1">
        <v>652.79999999999995</v>
      </c>
      <c r="C514" s="1">
        <v>17</v>
      </c>
    </row>
    <row r="515" spans="1:3" x14ac:dyDescent="0.25">
      <c r="A515" s="1" t="s">
        <v>62</v>
      </c>
      <c r="B515" s="1">
        <v>230.4</v>
      </c>
      <c r="C515" s="1">
        <v>6</v>
      </c>
    </row>
    <row r="516" spans="1:3" x14ac:dyDescent="0.25">
      <c r="A516" s="1" t="s">
        <v>20</v>
      </c>
      <c r="B516" s="1">
        <v>652.79999999999995</v>
      </c>
      <c r="C516" s="1">
        <v>18</v>
      </c>
    </row>
    <row r="517" spans="1:3" x14ac:dyDescent="0.25">
      <c r="A517" s="1" t="s">
        <v>8</v>
      </c>
      <c r="B517" s="1">
        <v>822</v>
      </c>
      <c r="C517" s="1">
        <v>15</v>
      </c>
    </row>
    <row r="518" spans="1:3" x14ac:dyDescent="0.25">
      <c r="A518" s="1" t="s">
        <v>21</v>
      </c>
      <c r="B518" s="1">
        <v>328.8</v>
      </c>
      <c r="C518" s="1">
        <v>7</v>
      </c>
    </row>
    <row r="519" spans="1:3" x14ac:dyDescent="0.25">
      <c r="A519" s="1" t="s">
        <v>14</v>
      </c>
      <c r="B519" s="1">
        <v>86.25</v>
      </c>
      <c r="C519" s="1">
        <v>3</v>
      </c>
    </row>
    <row r="520" spans="1:3" x14ac:dyDescent="0.25">
      <c r="A520" s="1" t="s">
        <v>40</v>
      </c>
      <c r="B520" s="1">
        <v>767.2</v>
      </c>
      <c r="C520" s="1">
        <v>14</v>
      </c>
    </row>
    <row r="521" spans="1:3" x14ac:dyDescent="0.25">
      <c r="A521" s="1" t="s">
        <v>33</v>
      </c>
      <c r="B521" s="1">
        <v>240</v>
      </c>
      <c r="C521" s="1">
        <v>6</v>
      </c>
    </row>
    <row r="522" spans="1:3" x14ac:dyDescent="0.25">
      <c r="A522" s="1" t="s">
        <v>6</v>
      </c>
      <c r="B522" s="1">
        <v>164.4</v>
      </c>
      <c r="C522" s="1">
        <v>3</v>
      </c>
    </row>
    <row r="523" spans="1:3" x14ac:dyDescent="0.25">
      <c r="A523" s="1" t="s">
        <v>12</v>
      </c>
      <c r="B523" s="1">
        <v>840</v>
      </c>
      <c r="C523" s="1">
        <v>25</v>
      </c>
    </row>
    <row r="524" spans="1:3" x14ac:dyDescent="0.25">
      <c r="A524" s="1" t="s">
        <v>15</v>
      </c>
      <c r="B524" s="1">
        <v>136</v>
      </c>
      <c r="C524" s="1">
        <v>2</v>
      </c>
    </row>
    <row r="525" spans="1:3" x14ac:dyDescent="0.25">
      <c r="A525" s="1" t="s">
        <v>51</v>
      </c>
      <c r="B525" s="1">
        <v>230.4</v>
      </c>
      <c r="C525" s="1">
        <v>9</v>
      </c>
    </row>
    <row r="526" spans="1:3" x14ac:dyDescent="0.25">
      <c r="A526" s="1" t="s">
        <v>69</v>
      </c>
      <c r="B526" s="1">
        <v>64</v>
      </c>
      <c r="C526" s="1">
        <v>1</v>
      </c>
    </row>
    <row r="527" spans="1:3" x14ac:dyDescent="0.25">
      <c r="A527" s="1" t="s">
        <v>16</v>
      </c>
      <c r="B527" s="1">
        <v>70.400000000000006</v>
      </c>
      <c r="C527" s="1">
        <v>2</v>
      </c>
    </row>
    <row r="528" spans="1:3" x14ac:dyDescent="0.25">
      <c r="A528" s="1" t="s">
        <v>42</v>
      </c>
      <c r="B528" s="1">
        <v>40</v>
      </c>
      <c r="C528" s="1">
        <v>1</v>
      </c>
    </row>
    <row r="529" spans="1:3" x14ac:dyDescent="0.25">
      <c r="A529" s="1" t="s">
        <v>31</v>
      </c>
      <c r="B529" s="1">
        <v>69.12</v>
      </c>
      <c r="C529" s="1">
        <v>2</v>
      </c>
    </row>
    <row r="530" spans="1:3" x14ac:dyDescent="0.25">
      <c r="A530" s="1" t="s">
        <v>49</v>
      </c>
      <c r="B530" s="1">
        <v>320</v>
      </c>
      <c r="C530" s="1">
        <v>8</v>
      </c>
    </row>
    <row r="531" spans="1:3" x14ac:dyDescent="0.25">
      <c r="A531" s="1" t="s">
        <v>7</v>
      </c>
      <c r="B531" s="1">
        <v>493.2</v>
      </c>
      <c r="C531" s="1">
        <v>11</v>
      </c>
    </row>
    <row r="532" spans="1:3" x14ac:dyDescent="0.25">
      <c r="A532" s="1" t="s">
        <v>63</v>
      </c>
      <c r="B532" s="1">
        <v>38.4</v>
      </c>
      <c r="C532" s="1">
        <v>1</v>
      </c>
    </row>
    <row r="533" spans="1:3" x14ac:dyDescent="0.25">
      <c r="A533" s="1" t="s">
        <v>64</v>
      </c>
      <c r="B533" s="1">
        <v>76.8</v>
      </c>
      <c r="C533" s="1">
        <v>2</v>
      </c>
    </row>
    <row r="534" spans="1:3" x14ac:dyDescent="0.25">
      <c r="A534" s="1" t="s">
        <v>25</v>
      </c>
      <c r="B534" s="1">
        <v>80</v>
      </c>
      <c r="C534" s="1">
        <v>2</v>
      </c>
    </row>
    <row r="535" spans="1:3" x14ac:dyDescent="0.25">
      <c r="A535" s="1" t="s">
        <v>54</v>
      </c>
      <c r="B535" s="1">
        <v>76.8</v>
      </c>
      <c r="C535" s="1">
        <v>2</v>
      </c>
    </row>
    <row r="536" spans="1:3" x14ac:dyDescent="0.25">
      <c r="A536" s="1" t="s">
        <v>13</v>
      </c>
      <c r="B536" s="1">
        <v>153.6</v>
      </c>
      <c r="C536" s="1">
        <v>4</v>
      </c>
    </row>
    <row r="537" spans="1:3" x14ac:dyDescent="0.25">
      <c r="A537" s="1" t="s">
        <v>53</v>
      </c>
      <c r="B537" s="1">
        <v>57.5</v>
      </c>
      <c r="C537" s="1">
        <v>2</v>
      </c>
    </row>
    <row r="538" spans="1:3" x14ac:dyDescent="0.25">
      <c r="A538" s="1" t="s">
        <v>61</v>
      </c>
      <c r="B538" s="1">
        <v>128</v>
      </c>
      <c r="C538" s="1">
        <v>2</v>
      </c>
    </row>
    <row r="539" spans="1:3" x14ac:dyDescent="0.25">
      <c r="A539" s="1" t="s">
        <v>27</v>
      </c>
      <c r="B539" s="1">
        <v>153.6</v>
      </c>
      <c r="C539" s="1">
        <v>4</v>
      </c>
    </row>
    <row r="540" spans="1:3" x14ac:dyDescent="0.25">
      <c r="A540" s="1" t="s">
        <v>36</v>
      </c>
      <c r="B540" s="1">
        <v>107.52</v>
      </c>
      <c r="C540" s="1">
        <v>3</v>
      </c>
    </row>
    <row r="541" spans="1:3" x14ac:dyDescent="0.25">
      <c r="A541" s="1" t="s">
        <v>57</v>
      </c>
      <c r="B541" s="1">
        <v>80</v>
      </c>
      <c r="C541" s="1">
        <v>2</v>
      </c>
    </row>
    <row r="542" spans="1:3" x14ac:dyDescent="0.25">
      <c r="A542" s="1" t="s">
        <v>52</v>
      </c>
      <c r="B542" s="1">
        <v>64</v>
      </c>
      <c r="C542" s="1">
        <v>1</v>
      </c>
    </row>
    <row r="543" spans="1:3" x14ac:dyDescent="0.25">
      <c r="A543" s="1" t="s">
        <v>37</v>
      </c>
      <c r="B543" s="1">
        <v>54.8</v>
      </c>
      <c r="C543" s="1">
        <v>1</v>
      </c>
    </row>
    <row r="544" spans="1:3" x14ac:dyDescent="0.25">
      <c r="A544" s="1" t="s">
        <v>65</v>
      </c>
      <c r="B544" s="1">
        <v>49.95</v>
      </c>
      <c r="C544" s="1">
        <v>1</v>
      </c>
    </row>
    <row r="545" spans="1:3" x14ac:dyDescent="0.25">
      <c r="A545" s="1" t="s">
        <v>55</v>
      </c>
      <c r="B545" s="1">
        <v>115.2</v>
      </c>
      <c r="C545" s="1">
        <v>3</v>
      </c>
    </row>
    <row r="546" spans="1:3" x14ac:dyDescent="0.25">
      <c r="A546" s="1" t="s">
        <v>56</v>
      </c>
      <c r="B546" s="1">
        <v>76.8</v>
      </c>
      <c r="C546" s="1">
        <v>2</v>
      </c>
    </row>
    <row r="547" spans="1:3" x14ac:dyDescent="0.25">
      <c r="A547" s="1" t="s">
        <v>67</v>
      </c>
      <c r="B547" s="1">
        <v>49.95</v>
      </c>
      <c r="C547" s="1">
        <v>1</v>
      </c>
    </row>
    <row r="548" spans="1:3" x14ac:dyDescent="0.25">
      <c r="A548" s="1" t="s">
        <v>44</v>
      </c>
      <c r="B548" s="1">
        <v>192</v>
      </c>
      <c r="C548" s="1">
        <v>5</v>
      </c>
    </row>
    <row r="549" spans="1:3" x14ac:dyDescent="0.25">
      <c r="A549" s="1" t="s">
        <v>45</v>
      </c>
      <c r="B549" s="1">
        <v>28.75</v>
      </c>
      <c r="C549" s="1">
        <v>1</v>
      </c>
    </row>
    <row r="550" spans="1:3" x14ac:dyDescent="0.25">
      <c r="A550" s="1" t="s">
        <v>68</v>
      </c>
      <c r="B550" s="1">
        <v>28.75</v>
      </c>
      <c r="C550" s="1">
        <v>1</v>
      </c>
    </row>
    <row r="551" spans="1:3" x14ac:dyDescent="0.25">
      <c r="A551" s="1" t="s">
        <v>87</v>
      </c>
      <c r="B551" s="1"/>
      <c r="C551" s="1"/>
    </row>
    <row r="552" spans="1:3" x14ac:dyDescent="0.25">
      <c r="A552" s="1" t="s">
        <v>1</v>
      </c>
      <c r="B552" s="1">
        <v>18</v>
      </c>
      <c r="C552" s="1"/>
    </row>
    <row r="553" spans="1:3" x14ac:dyDescent="0.25">
      <c r="A553" s="1" t="s">
        <v>2</v>
      </c>
      <c r="B553" s="1">
        <v>689.65</v>
      </c>
      <c r="C553" s="1"/>
    </row>
    <row r="554" spans="1:3" x14ac:dyDescent="0.25">
      <c r="A554" s="1" t="s">
        <v>3</v>
      </c>
      <c r="B554" s="1" t="s">
        <v>4</v>
      </c>
      <c r="C554" s="1" t="s">
        <v>5</v>
      </c>
    </row>
    <row r="555" spans="1:3" x14ac:dyDescent="0.25">
      <c r="A555" s="1" t="s">
        <v>17</v>
      </c>
      <c r="B555" s="1">
        <v>115.2</v>
      </c>
      <c r="C555" s="1">
        <v>3</v>
      </c>
    </row>
    <row r="556" spans="1:3" x14ac:dyDescent="0.25">
      <c r="A556" s="1" t="s">
        <v>20</v>
      </c>
      <c r="B556" s="1">
        <v>115.2</v>
      </c>
      <c r="C556" s="1">
        <v>3</v>
      </c>
    </row>
    <row r="557" spans="1:3" x14ac:dyDescent="0.25">
      <c r="A557" s="1" t="s">
        <v>26</v>
      </c>
      <c r="B557" s="1">
        <v>37.5</v>
      </c>
      <c r="C557" s="1">
        <v>2</v>
      </c>
    </row>
    <row r="558" spans="1:3" x14ac:dyDescent="0.25">
      <c r="A558" s="1" t="s">
        <v>8</v>
      </c>
      <c r="B558" s="1">
        <v>109.6</v>
      </c>
      <c r="C558" s="1">
        <v>2</v>
      </c>
    </row>
    <row r="559" spans="1:3" x14ac:dyDescent="0.25">
      <c r="A559" s="1" t="s">
        <v>64</v>
      </c>
      <c r="B559" s="1">
        <v>38.4</v>
      </c>
      <c r="C559" s="1">
        <v>1</v>
      </c>
    </row>
    <row r="560" spans="1:3" x14ac:dyDescent="0.25">
      <c r="A560" s="1" t="s">
        <v>13</v>
      </c>
      <c r="B560" s="1">
        <v>38.4</v>
      </c>
      <c r="C560" s="1">
        <v>1</v>
      </c>
    </row>
    <row r="561" spans="1:3" x14ac:dyDescent="0.25">
      <c r="A561" s="1" t="s">
        <v>12</v>
      </c>
      <c r="B561" s="1">
        <v>35</v>
      </c>
      <c r="C561" s="1">
        <v>1</v>
      </c>
    </row>
    <row r="562" spans="1:3" x14ac:dyDescent="0.25">
      <c r="A562" s="1" t="s">
        <v>54</v>
      </c>
      <c r="B562" s="1">
        <v>38.4</v>
      </c>
      <c r="C562" s="1">
        <v>1</v>
      </c>
    </row>
    <row r="563" spans="1:3" x14ac:dyDescent="0.25">
      <c r="A563" s="1" t="s">
        <v>7</v>
      </c>
      <c r="B563" s="1">
        <v>54.8</v>
      </c>
      <c r="C563" s="1">
        <v>1</v>
      </c>
    </row>
    <row r="564" spans="1:3" x14ac:dyDescent="0.25">
      <c r="A564" s="1" t="s">
        <v>10</v>
      </c>
      <c r="B564" s="1">
        <v>38.4</v>
      </c>
      <c r="C564" s="1">
        <v>1</v>
      </c>
    </row>
    <row r="565" spans="1:3" x14ac:dyDescent="0.25">
      <c r="A565" s="1" t="s">
        <v>41</v>
      </c>
      <c r="B565" s="1">
        <v>28.75</v>
      </c>
      <c r="C565" s="1">
        <v>1</v>
      </c>
    </row>
    <row r="566" spans="1:3" x14ac:dyDescent="0.25">
      <c r="A566" s="1" t="s">
        <v>25</v>
      </c>
      <c r="B566" s="1">
        <v>40</v>
      </c>
      <c r="C566" s="1">
        <v>1</v>
      </c>
    </row>
    <row r="567" spans="1:3" x14ac:dyDescent="0.25">
      <c r="A567" s="1" t="s">
        <v>88</v>
      </c>
      <c r="B567" s="1"/>
      <c r="C567" s="1"/>
    </row>
    <row r="568" spans="1:3" x14ac:dyDescent="0.25">
      <c r="A568" s="1" t="s">
        <v>1</v>
      </c>
      <c r="B568" s="1">
        <v>115</v>
      </c>
      <c r="C568" s="1"/>
    </row>
    <row r="569" spans="1:3" x14ac:dyDescent="0.25">
      <c r="A569" s="1" t="s">
        <v>2</v>
      </c>
      <c r="B569" s="1">
        <v>4590.71</v>
      </c>
      <c r="C569" s="1"/>
    </row>
    <row r="570" spans="1:3" x14ac:dyDescent="0.25">
      <c r="A570" s="1" t="s">
        <v>3</v>
      </c>
      <c r="B570" s="1" t="s">
        <v>4</v>
      </c>
      <c r="C570" s="1" t="s">
        <v>5</v>
      </c>
    </row>
    <row r="571" spans="1:3" x14ac:dyDescent="0.25">
      <c r="A571" s="1" t="s">
        <v>18</v>
      </c>
      <c r="B571" s="1">
        <v>460.8</v>
      </c>
      <c r="C571" s="1">
        <v>12</v>
      </c>
    </row>
    <row r="572" spans="1:3" x14ac:dyDescent="0.25">
      <c r="A572" s="1" t="s">
        <v>20</v>
      </c>
      <c r="B572" s="1">
        <v>691.2</v>
      </c>
      <c r="C572" s="1">
        <v>18</v>
      </c>
    </row>
    <row r="573" spans="1:3" x14ac:dyDescent="0.25">
      <c r="A573" s="1" t="s">
        <v>21</v>
      </c>
      <c r="B573" s="1">
        <v>383.6</v>
      </c>
      <c r="C573" s="1">
        <v>7</v>
      </c>
    </row>
    <row r="574" spans="1:3" x14ac:dyDescent="0.25">
      <c r="A574" s="1" t="s">
        <v>17</v>
      </c>
      <c r="B574" s="1">
        <v>230.4</v>
      </c>
      <c r="C574" s="1">
        <v>16</v>
      </c>
    </row>
    <row r="575" spans="1:3" x14ac:dyDescent="0.25">
      <c r="A575" s="1" t="s">
        <v>8</v>
      </c>
      <c r="B575" s="1">
        <v>657.6</v>
      </c>
      <c r="C575" s="1">
        <v>12</v>
      </c>
    </row>
    <row r="576" spans="1:3" x14ac:dyDescent="0.25">
      <c r="A576" s="1" t="s">
        <v>22</v>
      </c>
      <c r="B576" s="1">
        <v>54.8</v>
      </c>
      <c r="C576" s="1">
        <v>1</v>
      </c>
    </row>
    <row r="577" spans="1:3" x14ac:dyDescent="0.25">
      <c r="A577" s="1" t="s">
        <v>7</v>
      </c>
      <c r="B577" s="1">
        <v>164.4</v>
      </c>
      <c r="C577" s="1">
        <v>3</v>
      </c>
    </row>
    <row r="578" spans="1:3" x14ac:dyDescent="0.25">
      <c r="A578" s="1" t="s">
        <v>15</v>
      </c>
      <c r="B578" s="1">
        <v>204</v>
      </c>
      <c r="C578" s="1">
        <v>3</v>
      </c>
    </row>
    <row r="579" spans="1:3" x14ac:dyDescent="0.25">
      <c r="A579" s="1" t="s">
        <v>19</v>
      </c>
      <c r="B579" s="1">
        <v>57.5</v>
      </c>
      <c r="C579" s="1">
        <v>2</v>
      </c>
    </row>
    <row r="580" spans="1:3" x14ac:dyDescent="0.25">
      <c r="A580" s="1" t="s">
        <v>40</v>
      </c>
      <c r="B580" s="1">
        <v>274</v>
      </c>
      <c r="C580" s="1">
        <v>5</v>
      </c>
    </row>
    <row r="581" spans="1:3" x14ac:dyDescent="0.25">
      <c r="A581" s="1" t="s">
        <v>33</v>
      </c>
      <c r="B581" s="1">
        <v>80</v>
      </c>
      <c r="C581" s="1">
        <v>2</v>
      </c>
    </row>
    <row r="582" spans="1:3" x14ac:dyDescent="0.25">
      <c r="A582" s="1" t="s">
        <v>12</v>
      </c>
      <c r="B582" s="1">
        <v>350</v>
      </c>
      <c r="C582" s="1">
        <v>10</v>
      </c>
    </row>
    <row r="583" spans="1:3" x14ac:dyDescent="0.25">
      <c r="A583" s="1" t="s">
        <v>16</v>
      </c>
      <c r="B583" s="1">
        <v>70.400000000000006</v>
      </c>
      <c r="C583" s="1">
        <v>2</v>
      </c>
    </row>
    <row r="584" spans="1:3" x14ac:dyDescent="0.25">
      <c r="A584" s="1" t="s">
        <v>71</v>
      </c>
      <c r="B584" s="1">
        <v>40</v>
      </c>
      <c r="C584" s="1">
        <v>1</v>
      </c>
    </row>
    <row r="585" spans="1:3" x14ac:dyDescent="0.25">
      <c r="A585" s="1" t="s">
        <v>10</v>
      </c>
      <c r="B585" s="1">
        <v>76.8</v>
      </c>
      <c r="C585" s="1">
        <v>2</v>
      </c>
    </row>
    <row r="586" spans="1:3" x14ac:dyDescent="0.25">
      <c r="A586" s="1" t="s">
        <v>57</v>
      </c>
      <c r="B586" s="1">
        <v>120</v>
      </c>
      <c r="C586" s="1">
        <v>3</v>
      </c>
    </row>
    <row r="587" spans="1:3" x14ac:dyDescent="0.25">
      <c r="A587" s="1" t="s">
        <v>56</v>
      </c>
      <c r="B587" s="1">
        <v>76.8</v>
      </c>
      <c r="C587" s="1">
        <v>2</v>
      </c>
    </row>
    <row r="588" spans="1:3" x14ac:dyDescent="0.25">
      <c r="A588" s="1" t="s">
        <v>49</v>
      </c>
      <c r="B588" s="1">
        <v>120</v>
      </c>
      <c r="C588" s="1">
        <v>3</v>
      </c>
    </row>
    <row r="589" spans="1:3" x14ac:dyDescent="0.25">
      <c r="A589" s="1" t="s">
        <v>54</v>
      </c>
      <c r="B589" s="1">
        <v>76.8</v>
      </c>
      <c r="C589" s="1">
        <v>2</v>
      </c>
    </row>
    <row r="590" spans="1:3" x14ac:dyDescent="0.25">
      <c r="A590" s="1" t="s">
        <v>36</v>
      </c>
      <c r="B590" s="1">
        <v>34.56</v>
      </c>
      <c r="C590" s="1">
        <v>1</v>
      </c>
    </row>
    <row r="591" spans="1:3" x14ac:dyDescent="0.25">
      <c r="A591" s="1" t="s">
        <v>67</v>
      </c>
      <c r="B591" s="1">
        <v>49.95</v>
      </c>
      <c r="C591" s="1">
        <v>1</v>
      </c>
    </row>
    <row r="592" spans="1:3" x14ac:dyDescent="0.25">
      <c r="A592" s="1" t="s">
        <v>6</v>
      </c>
      <c r="B592" s="1">
        <v>54.8</v>
      </c>
      <c r="C592" s="1">
        <v>1</v>
      </c>
    </row>
    <row r="593" spans="1:3" x14ac:dyDescent="0.25">
      <c r="A593" s="1" t="s">
        <v>41</v>
      </c>
      <c r="B593" s="1">
        <v>28.75</v>
      </c>
      <c r="C593" s="1">
        <v>1</v>
      </c>
    </row>
    <row r="594" spans="1:3" x14ac:dyDescent="0.25">
      <c r="A594" s="1" t="s">
        <v>69</v>
      </c>
      <c r="B594" s="1">
        <v>64</v>
      </c>
      <c r="C594" s="1">
        <v>1</v>
      </c>
    </row>
    <row r="595" spans="1:3" x14ac:dyDescent="0.25">
      <c r="A595" s="1" t="s">
        <v>44</v>
      </c>
      <c r="B595" s="1">
        <v>38.4</v>
      </c>
      <c r="C595" s="1">
        <v>1</v>
      </c>
    </row>
    <row r="596" spans="1:3" x14ac:dyDescent="0.25">
      <c r="A596" s="1" t="s">
        <v>52</v>
      </c>
      <c r="B596" s="1">
        <v>64</v>
      </c>
      <c r="C596" s="1">
        <v>1</v>
      </c>
    </row>
    <row r="597" spans="1:3" x14ac:dyDescent="0.25">
      <c r="A597" s="1" t="s">
        <v>68</v>
      </c>
      <c r="B597" s="1">
        <v>28.75</v>
      </c>
      <c r="C597" s="1">
        <v>1</v>
      </c>
    </row>
    <row r="598" spans="1:3" x14ac:dyDescent="0.25">
      <c r="A598" s="1" t="s">
        <v>62</v>
      </c>
      <c r="B598" s="1">
        <v>38.4</v>
      </c>
      <c r="C598" s="1">
        <v>1</v>
      </c>
    </row>
    <row r="599" spans="1:3" x14ac:dyDescent="0.25">
      <c r="A599" s="1" t="s">
        <v>89</v>
      </c>
      <c r="B599" s="1"/>
      <c r="C599" s="1"/>
    </row>
    <row r="600" spans="1:3" x14ac:dyDescent="0.25">
      <c r="A600" s="1" t="s">
        <v>1</v>
      </c>
      <c r="B600" s="1">
        <v>29</v>
      </c>
      <c r="C600" s="1"/>
    </row>
    <row r="601" spans="1:3" x14ac:dyDescent="0.25">
      <c r="A601" s="1" t="s">
        <v>2</v>
      </c>
      <c r="B601" s="1">
        <v>1175.8</v>
      </c>
      <c r="C601" s="1"/>
    </row>
    <row r="602" spans="1:3" x14ac:dyDescent="0.25">
      <c r="A602" s="1" t="s">
        <v>3</v>
      </c>
      <c r="B602" s="1" t="s">
        <v>4</v>
      </c>
      <c r="C602" s="1" t="s">
        <v>5</v>
      </c>
    </row>
    <row r="603" spans="1:3" x14ac:dyDescent="0.25">
      <c r="A603" s="1" t="s">
        <v>8</v>
      </c>
      <c r="B603" s="1">
        <v>219.2</v>
      </c>
      <c r="C603" s="1">
        <v>5</v>
      </c>
    </row>
    <row r="604" spans="1:3" x14ac:dyDescent="0.25">
      <c r="A604" s="1" t="s">
        <v>21</v>
      </c>
      <c r="B604" s="1">
        <v>164.4</v>
      </c>
      <c r="C604" s="1">
        <v>3</v>
      </c>
    </row>
    <row r="605" spans="1:3" x14ac:dyDescent="0.25">
      <c r="A605" s="1" t="s">
        <v>26</v>
      </c>
      <c r="B605" s="1">
        <v>37.5</v>
      </c>
      <c r="C605" s="1">
        <v>1</v>
      </c>
    </row>
    <row r="606" spans="1:3" x14ac:dyDescent="0.25">
      <c r="A606" s="1" t="s">
        <v>16</v>
      </c>
      <c r="B606" s="1">
        <v>70.400000000000006</v>
      </c>
      <c r="C606" s="1">
        <v>2</v>
      </c>
    </row>
    <row r="607" spans="1:3" x14ac:dyDescent="0.25">
      <c r="A607" s="1" t="s">
        <v>40</v>
      </c>
      <c r="B607" s="1">
        <v>54.8</v>
      </c>
      <c r="C607" s="1">
        <v>1</v>
      </c>
    </row>
    <row r="608" spans="1:3" x14ac:dyDescent="0.25">
      <c r="A608" s="1" t="s">
        <v>53</v>
      </c>
      <c r="B608" s="1">
        <v>86.25</v>
      </c>
      <c r="C608" s="1">
        <v>3</v>
      </c>
    </row>
    <row r="609" spans="1:3" x14ac:dyDescent="0.25">
      <c r="A609" s="1" t="s">
        <v>18</v>
      </c>
      <c r="B609" s="1">
        <v>115.2</v>
      </c>
      <c r="C609" s="1">
        <v>3</v>
      </c>
    </row>
    <row r="610" spans="1:3" x14ac:dyDescent="0.25">
      <c r="A610" s="1" t="s">
        <v>33</v>
      </c>
      <c r="B610" s="1">
        <v>40</v>
      </c>
      <c r="C610" s="1">
        <v>1</v>
      </c>
    </row>
    <row r="611" spans="1:3" x14ac:dyDescent="0.25">
      <c r="A611" s="1" t="s">
        <v>17</v>
      </c>
      <c r="B611" s="1">
        <v>38.4</v>
      </c>
      <c r="C611" s="1">
        <v>1</v>
      </c>
    </row>
    <row r="612" spans="1:3" x14ac:dyDescent="0.25">
      <c r="A612" s="1" t="s">
        <v>20</v>
      </c>
      <c r="B612" s="1">
        <v>115.2</v>
      </c>
      <c r="C612" s="1">
        <v>3</v>
      </c>
    </row>
    <row r="613" spans="1:3" x14ac:dyDescent="0.25">
      <c r="A613" s="1" t="s">
        <v>50</v>
      </c>
      <c r="B613" s="1">
        <v>42.5</v>
      </c>
      <c r="C613" s="1">
        <v>1</v>
      </c>
    </row>
    <row r="614" spans="1:3" x14ac:dyDescent="0.25">
      <c r="A614" s="1" t="s">
        <v>12</v>
      </c>
      <c r="B614" s="1">
        <v>70</v>
      </c>
      <c r="C614" s="1">
        <v>2</v>
      </c>
    </row>
    <row r="615" spans="1:3" x14ac:dyDescent="0.25">
      <c r="A615" s="1" t="s">
        <v>9</v>
      </c>
      <c r="B615" s="1">
        <v>54.8</v>
      </c>
      <c r="C615" s="1">
        <v>1</v>
      </c>
    </row>
    <row r="616" spans="1:3" x14ac:dyDescent="0.25">
      <c r="A616" s="1" t="s">
        <v>41</v>
      </c>
      <c r="B616" s="1">
        <v>28.75</v>
      </c>
      <c r="C616" s="1">
        <v>1</v>
      </c>
    </row>
    <row r="617" spans="1:3" x14ac:dyDescent="0.25">
      <c r="A617" s="1" t="s">
        <v>13</v>
      </c>
      <c r="B617" s="1">
        <v>38.4</v>
      </c>
      <c r="C617" s="1">
        <v>1</v>
      </c>
    </row>
    <row r="618" spans="1:3" x14ac:dyDescent="0.25">
      <c r="A618" s="1" t="s">
        <v>90</v>
      </c>
      <c r="B618" s="1"/>
      <c r="C618" s="1"/>
    </row>
    <row r="619" spans="1:3" x14ac:dyDescent="0.25">
      <c r="A619" s="1" t="s">
        <v>1</v>
      </c>
      <c r="B619" s="1">
        <v>32</v>
      </c>
      <c r="C619" s="1"/>
    </row>
    <row r="620" spans="1:3" x14ac:dyDescent="0.25">
      <c r="A620" s="1" t="s">
        <v>2</v>
      </c>
      <c r="B620" s="1">
        <v>1273.8900000000001</v>
      </c>
      <c r="C620" s="1"/>
    </row>
    <row r="621" spans="1:3" x14ac:dyDescent="0.25">
      <c r="A621" s="1" t="s">
        <v>3</v>
      </c>
      <c r="B621" s="1" t="s">
        <v>4</v>
      </c>
      <c r="C621" s="1" t="s">
        <v>5</v>
      </c>
    </row>
    <row r="622" spans="1:3" x14ac:dyDescent="0.25">
      <c r="A622" s="1" t="s">
        <v>21</v>
      </c>
      <c r="B622" s="1">
        <v>219.2</v>
      </c>
      <c r="C622" s="1">
        <v>4</v>
      </c>
    </row>
    <row r="623" spans="1:3" x14ac:dyDescent="0.25">
      <c r="A623" s="1" t="s">
        <v>7</v>
      </c>
      <c r="B623" s="1">
        <v>109.6</v>
      </c>
      <c r="C623" s="1">
        <v>2</v>
      </c>
    </row>
    <row r="624" spans="1:3" x14ac:dyDescent="0.25">
      <c r="A624" s="1" t="s">
        <v>12</v>
      </c>
      <c r="B624" s="1">
        <v>140</v>
      </c>
      <c r="C624" s="1">
        <v>4</v>
      </c>
    </row>
    <row r="625" spans="1:3" x14ac:dyDescent="0.25">
      <c r="A625" s="1" t="s">
        <v>17</v>
      </c>
      <c r="B625" s="1">
        <v>115.2</v>
      </c>
      <c r="C625" s="1">
        <v>3</v>
      </c>
    </row>
    <row r="626" spans="1:3" x14ac:dyDescent="0.25">
      <c r="A626" s="1" t="s">
        <v>20</v>
      </c>
      <c r="B626" s="1">
        <v>115.2</v>
      </c>
      <c r="C626" s="1">
        <v>3</v>
      </c>
    </row>
    <row r="627" spans="1:3" x14ac:dyDescent="0.25">
      <c r="A627" s="1" t="s">
        <v>40</v>
      </c>
      <c r="B627" s="1">
        <v>219.2</v>
      </c>
      <c r="C627" s="1">
        <v>4</v>
      </c>
    </row>
    <row r="628" spans="1:3" x14ac:dyDescent="0.25">
      <c r="A628" s="1" t="s">
        <v>18</v>
      </c>
      <c r="B628" s="1">
        <v>115.2</v>
      </c>
      <c r="C628" s="1">
        <v>4</v>
      </c>
    </row>
    <row r="629" spans="1:3" x14ac:dyDescent="0.25">
      <c r="A629" s="1" t="s">
        <v>54</v>
      </c>
      <c r="B629" s="1">
        <v>38.4</v>
      </c>
      <c r="C629" s="1">
        <v>1</v>
      </c>
    </row>
    <row r="630" spans="1:3" x14ac:dyDescent="0.25">
      <c r="A630" s="1" t="s">
        <v>19</v>
      </c>
      <c r="B630" s="1">
        <v>28.75</v>
      </c>
      <c r="C630" s="1">
        <v>1</v>
      </c>
    </row>
    <row r="631" spans="1:3" x14ac:dyDescent="0.25">
      <c r="A631" s="1" t="s">
        <v>56</v>
      </c>
      <c r="B631" s="1">
        <v>38.4</v>
      </c>
      <c r="C631" s="1">
        <v>1</v>
      </c>
    </row>
    <row r="632" spans="1:3" x14ac:dyDescent="0.25">
      <c r="A632" s="1" t="s">
        <v>8</v>
      </c>
      <c r="B632" s="1">
        <v>54.8</v>
      </c>
      <c r="C632" s="1">
        <v>1</v>
      </c>
    </row>
    <row r="633" spans="1:3" x14ac:dyDescent="0.25">
      <c r="A633" s="1" t="s">
        <v>16</v>
      </c>
      <c r="B633" s="1">
        <v>35.200000000000003</v>
      </c>
      <c r="C633" s="1">
        <v>1</v>
      </c>
    </row>
    <row r="634" spans="1:3" x14ac:dyDescent="0.25">
      <c r="A634" s="1" t="s">
        <v>30</v>
      </c>
      <c r="B634" s="1">
        <v>15.99</v>
      </c>
      <c r="C634" s="1">
        <v>2</v>
      </c>
    </row>
    <row r="635" spans="1:3" x14ac:dyDescent="0.25">
      <c r="A635" s="1" t="s">
        <v>41</v>
      </c>
      <c r="B635" s="1">
        <v>28.75</v>
      </c>
      <c r="C635" s="1">
        <v>1</v>
      </c>
    </row>
    <row r="636" spans="1:3" x14ac:dyDescent="0.25">
      <c r="A636" s="1" t="s">
        <v>91</v>
      </c>
      <c r="B636" s="1"/>
      <c r="C636" s="1"/>
    </row>
    <row r="637" spans="1:3" x14ac:dyDescent="0.25">
      <c r="A637" s="1" t="s">
        <v>1</v>
      </c>
      <c r="B637" s="1">
        <v>39</v>
      </c>
      <c r="C637" s="1"/>
    </row>
    <row r="638" spans="1:3" x14ac:dyDescent="0.25">
      <c r="A638" s="1" t="s">
        <v>2</v>
      </c>
      <c r="B638" s="1">
        <v>1656.2</v>
      </c>
      <c r="C638" s="1"/>
    </row>
    <row r="639" spans="1:3" x14ac:dyDescent="0.25">
      <c r="A639" s="1" t="s">
        <v>3</v>
      </c>
      <c r="B639" s="1" t="s">
        <v>4</v>
      </c>
      <c r="C639" s="1" t="s">
        <v>5</v>
      </c>
    </row>
    <row r="640" spans="1:3" x14ac:dyDescent="0.25">
      <c r="A640" s="1" t="s">
        <v>19</v>
      </c>
      <c r="B640" s="1">
        <v>28.75</v>
      </c>
      <c r="C640" s="1">
        <v>1</v>
      </c>
    </row>
    <row r="641" spans="1:3" x14ac:dyDescent="0.25">
      <c r="A641" s="1" t="s">
        <v>8</v>
      </c>
      <c r="B641" s="1">
        <v>493.2</v>
      </c>
      <c r="C641" s="1">
        <v>11</v>
      </c>
    </row>
    <row r="642" spans="1:3" x14ac:dyDescent="0.25">
      <c r="A642" s="1" t="s">
        <v>20</v>
      </c>
      <c r="B642" s="1">
        <v>192</v>
      </c>
      <c r="C642" s="1">
        <v>5</v>
      </c>
    </row>
    <row r="643" spans="1:3" x14ac:dyDescent="0.25">
      <c r="A643" s="1" t="s">
        <v>57</v>
      </c>
      <c r="B643" s="1">
        <v>40</v>
      </c>
      <c r="C643" s="1">
        <v>1</v>
      </c>
    </row>
    <row r="644" spans="1:3" x14ac:dyDescent="0.25">
      <c r="A644" s="1" t="s">
        <v>21</v>
      </c>
      <c r="B644" s="1">
        <v>109.6</v>
      </c>
      <c r="C644" s="1">
        <v>2</v>
      </c>
    </row>
    <row r="645" spans="1:3" x14ac:dyDescent="0.25">
      <c r="A645" s="1" t="s">
        <v>49</v>
      </c>
      <c r="B645" s="1">
        <v>40</v>
      </c>
      <c r="C645" s="1">
        <v>1</v>
      </c>
    </row>
    <row r="646" spans="1:3" x14ac:dyDescent="0.25">
      <c r="A646" s="1" t="s">
        <v>12</v>
      </c>
      <c r="B646" s="1">
        <v>140</v>
      </c>
      <c r="C646" s="1">
        <v>4</v>
      </c>
    </row>
    <row r="647" spans="1:3" x14ac:dyDescent="0.25">
      <c r="A647" s="1" t="s">
        <v>7</v>
      </c>
      <c r="B647" s="1">
        <v>54.8</v>
      </c>
      <c r="C647" s="1">
        <v>1</v>
      </c>
    </row>
    <row r="648" spans="1:3" x14ac:dyDescent="0.25">
      <c r="A648" s="1" t="s">
        <v>26</v>
      </c>
      <c r="B648" s="1">
        <v>37.5</v>
      </c>
      <c r="C648" s="1">
        <v>1</v>
      </c>
    </row>
    <row r="649" spans="1:3" x14ac:dyDescent="0.25">
      <c r="A649" s="1" t="s">
        <v>16</v>
      </c>
      <c r="B649" s="1">
        <v>70.400000000000006</v>
      </c>
      <c r="C649" s="1">
        <v>2</v>
      </c>
    </row>
    <row r="650" spans="1:3" x14ac:dyDescent="0.25">
      <c r="A650" s="1" t="s">
        <v>51</v>
      </c>
      <c r="B650" s="1">
        <v>38.4</v>
      </c>
      <c r="C650" s="1">
        <v>1</v>
      </c>
    </row>
    <row r="651" spans="1:3" x14ac:dyDescent="0.25">
      <c r="A651" s="1" t="s">
        <v>18</v>
      </c>
      <c r="B651" s="1">
        <v>76.8</v>
      </c>
      <c r="C651" s="1">
        <v>2</v>
      </c>
    </row>
    <row r="652" spans="1:3" x14ac:dyDescent="0.25">
      <c r="A652" s="1" t="s">
        <v>13</v>
      </c>
      <c r="B652" s="1">
        <v>76.8</v>
      </c>
      <c r="C652" s="1">
        <v>2</v>
      </c>
    </row>
    <row r="653" spans="1:3" x14ac:dyDescent="0.25">
      <c r="A653" s="1" t="s">
        <v>6</v>
      </c>
      <c r="B653" s="1">
        <v>54.8</v>
      </c>
      <c r="C653" s="1">
        <v>1</v>
      </c>
    </row>
    <row r="654" spans="1:3" x14ac:dyDescent="0.25">
      <c r="A654" s="1" t="s">
        <v>15</v>
      </c>
      <c r="B654" s="1">
        <v>136</v>
      </c>
      <c r="C654" s="1">
        <v>2</v>
      </c>
    </row>
    <row r="655" spans="1:3" x14ac:dyDescent="0.25">
      <c r="A655" s="1" t="s">
        <v>68</v>
      </c>
      <c r="B655" s="1">
        <v>28.75</v>
      </c>
      <c r="C655" s="1">
        <v>1</v>
      </c>
    </row>
    <row r="656" spans="1:3" x14ac:dyDescent="0.25">
      <c r="A656" s="1" t="s">
        <v>27</v>
      </c>
      <c r="B656" s="1">
        <v>38.4</v>
      </c>
      <c r="C656" s="1">
        <v>1</v>
      </c>
    </row>
    <row r="657" spans="1:3" x14ac:dyDescent="0.25">
      <c r="A657" s="1" t="s">
        <v>92</v>
      </c>
      <c r="B657" s="1"/>
      <c r="C657" s="1"/>
    </row>
    <row r="658" spans="1:3" x14ac:dyDescent="0.25">
      <c r="A658" s="1" t="s">
        <v>1</v>
      </c>
      <c r="B658" s="1">
        <v>64</v>
      </c>
      <c r="C658" s="1"/>
    </row>
    <row r="659" spans="1:3" x14ac:dyDescent="0.25">
      <c r="A659" s="1" t="s">
        <v>2</v>
      </c>
      <c r="B659" s="1">
        <v>3472.05</v>
      </c>
      <c r="C659" s="1"/>
    </row>
    <row r="660" spans="1:3" x14ac:dyDescent="0.25">
      <c r="A660" s="1" t="s">
        <v>3</v>
      </c>
      <c r="B660" s="1" t="s">
        <v>4</v>
      </c>
      <c r="C660" s="1" t="s">
        <v>5</v>
      </c>
    </row>
    <row r="661" spans="1:3" x14ac:dyDescent="0.25">
      <c r="A661" s="1" t="s">
        <v>15</v>
      </c>
      <c r="B661" s="1">
        <v>2244</v>
      </c>
      <c r="C661" s="1">
        <v>33</v>
      </c>
    </row>
    <row r="662" spans="1:3" x14ac:dyDescent="0.25">
      <c r="A662" s="1" t="s">
        <v>40</v>
      </c>
      <c r="B662" s="1">
        <v>219.2</v>
      </c>
      <c r="C662" s="1">
        <v>4</v>
      </c>
    </row>
    <row r="663" spans="1:3" x14ac:dyDescent="0.25">
      <c r="A663" s="1" t="s">
        <v>20</v>
      </c>
      <c r="B663" s="1">
        <v>153.6</v>
      </c>
      <c r="C663" s="1">
        <v>4</v>
      </c>
    </row>
    <row r="664" spans="1:3" x14ac:dyDescent="0.25">
      <c r="A664" s="1" t="s">
        <v>33</v>
      </c>
      <c r="B664" s="1">
        <v>40</v>
      </c>
      <c r="C664" s="1">
        <v>1</v>
      </c>
    </row>
    <row r="665" spans="1:3" x14ac:dyDescent="0.25">
      <c r="A665" s="1" t="s">
        <v>7</v>
      </c>
      <c r="B665" s="1">
        <v>54.8</v>
      </c>
      <c r="C665" s="1">
        <v>1</v>
      </c>
    </row>
    <row r="666" spans="1:3" x14ac:dyDescent="0.25">
      <c r="A666" s="1" t="s">
        <v>18</v>
      </c>
      <c r="B666" s="1">
        <v>153.6</v>
      </c>
      <c r="C666" s="1">
        <v>4</v>
      </c>
    </row>
    <row r="667" spans="1:3" x14ac:dyDescent="0.25">
      <c r="A667" s="1" t="s">
        <v>16</v>
      </c>
      <c r="B667" s="1">
        <v>140.80000000000001</v>
      </c>
      <c r="C667" s="1">
        <v>5</v>
      </c>
    </row>
    <row r="668" spans="1:3" x14ac:dyDescent="0.25">
      <c r="A668" s="1" t="s">
        <v>57</v>
      </c>
      <c r="B668" s="1">
        <v>80</v>
      </c>
      <c r="C668" s="1">
        <v>2</v>
      </c>
    </row>
    <row r="669" spans="1:3" x14ac:dyDescent="0.25">
      <c r="A669" s="1" t="s">
        <v>19</v>
      </c>
      <c r="B669" s="1">
        <v>28.75</v>
      </c>
      <c r="C669" s="1">
        <v>1</v>
      </c>
    </row>
    <row r="670" spans="1:3" x14ac:dyDescent="0.25">
      <c r="A670" s="1" t="s">
        <v>8</v>
      </c>
      <c r="B670" s="1">
        <v>109.6</v>
      </c>
      <c r="C670" s="1">
        <v>2</v>
      </c>
    </row>
    <row r="671" spans="1:3" x14ac:dyDescent="0.25">
      <c r="A671" s="1" t="s">
        <v>12</v>
      </c>
      <c r="B671" s="1">
        <v>35</v>
      </c>
      <c r="C671" s="1">
        <v>1</v>
      </c>
    </row>
    <row r="672" spans="1:3" x14ac:dyDescent="0.25">
      <c r="A672" s="1" t="s">
        <v>49</v>
      </c>
      <c r="B672" s="1">
        <v>40</v>
      </c>
      <c r="C672" s="1">
        <v>1</v>
      </c>
    </row>
    <row r="673" spans="1:3" x14ac:dyDescent="0.25">
      <c r="A673" s="1" t="s">
        <v>17</v>
      </c>
      <c r="B673" s="1">
        <v>76.8</v>
      </c>
      <c r="C673" s="1">
        <v>2</v>
      </c>
    </row>
    <row r="674" spans="1:3" x14ac:dyDescent="0.25">
      <c r="A674" s="1" t="s">
        <v>27</v>
      </c>
      <c r="B674" s="1">
        <v>38.4</v>
      </c>
      <c r="C674" s="1">
        <v>1</v>
      </c>
    </row>
    <row r="675" spans="1:3" x14ac:dyDescent="0.25">
      <c r="A675" s="1" t="s">
        <v>41</v>
      </c>
      <c r="B675" s="1">
        <v>57.5</v>
      </c>
      <c r="C675" s="1">
        <v>2</v>
      </c>
    </row>
    <row r="676" spans="1:3" x14ac:dyDescent="0.25">
      <c r="A676" s="1" t="s">
        <v>93</v>
      </c>
      <c r="B676" s="1"/>
      <c r="C676" s="1"/>
    </row>
    <row r="677" spans="1:3" x14ac:dyDescent="0.25">
      <c r="A677" s="1" t="s">
        <v>1</v>
      </c>
      <c r="B677" s="1">
        <v>173</v>
      </c>
      <c r="C677" s="1"/>
    </row>
    <row r="678" spans="1:3" x14ac:dyDescent="0.25">
      <c r="A678" s="1" t="s">
        <v>2</v>
      </c>
      <c r="B678" s="1">
        <v>6673.38</v>
      </c>
      <c r="C678" s="1"/>
    </row>
    <row r="679" spans="1:3" x14ac:dyDescent="0.25">
      <c r="A679" s="1" t="s">
        <v>3</v>
      </c>
      <c r="B679" s="1" t="s">
        <v>4</v>
      </c>
      <c r="C679" s="1" t="s">
        <v>5</v>
      </c>
    </row>
    <row r="680" spans="1:3" x14ac:dyDescent="0.25">
      <c r="A680" s="1" t="s">
        <v>51</v>
      </c>
      <c r="B680" s="1">
        <v>115.2</v>
      </c>
      <c r="C680" s="1">
        <v>3</v>
      </c>
    </row>
    <row r="681" spans="1:3" x14ac:dyDescent="0.25">
      <c r="A681" s="1" t="s">
        <v>22</v>
      </c>
      <c r="B681" s="1">
        <v>109.6</v>
      </c>
      <c r="C681" s="1">
        <v>2</v>
      </c>
    </row>
    <row r="682" spans="1:3" x14ac:dyDescent="0.25">
      <c r="A682" s="1" t="s">
        <v>8</v>
      </c>
      <c r="B682" s="1">
        <v>274</v>
      </c>
      <c r="C682" s="1">
        <v>5</v>
      </c>
    </row>
    <row r="683" spans="1:3" x14ac:dyDescent="0.25">
      <c r="A683" s="1" t="s">
        <v>17</v>
      </c>
      <c r="B683" s="1">
        <v>998.4</v>
      </c>
      <c r="C683" s="1">
        <v>28</v>
      </c>
    </row>
    <row r="684" spans="1:3" x14ac:dyDescent="0.25">
      <c r="A684" s="1" t="s">
        <v>20</v>
      </c>
      <c r="B684" s="1">
        <v>307.2</v>
      </c>
      <c r="C684" s="1">
        <v>10</v>
      </c>
    </row>
    <row r="685" spans="1:3" x14ac:dyDescent="0.25">
      <c r="A685" s="1" t="s">
        <v>21</v>
      </c>
      <c r="B685" s="1">
        <v>328.8</v>
      </c>
      <c r="C685" s="1">
        <v>6</v>
      </c>
    </row>
    <row r="686" spans="1:3" x14ac:dyDescent="0.25">
      <c r="A686" s="1" t="s">
        <v>18</v>
      </c>
      <c r="B686" s="1">
        <v>499.2</v>
      </c>
      <c r="C686" s="1">
        <v>13</v>
      </c>
    </row>
    <row r="687" spans="1:3" x14ac:dyDescent="0.25">
      <c r="A687" s="1" t="s">
        <v>7</v>
      </c>
      <c r="B687" s="1">
        <v>219.2</v>
      </c>
      <c r="C687" s="1">
        <v>4</v>
      </c>
    </row>
    <row r="688" spans="1:3" x14ac:dyDescent="0.25">
      <c r="A688" s="1" t="s">
        <v>19</v>
      </c>
      <c r="B688" s="1">
        <v>115</v>
      </c>
      <c r="C688" s="1">
        <v>4</v>
      </c>
    </row>
    <row r="689" spans="1:3" x14ac:dyDescent="0.25">
      <c r="A689" s="1" t="s">
        <v>12</v>
      </c>
      <c r="B689" s="1">
        <v>560</v>
      </c>
      <c r="C689" s="1">
        <v>16</v>
      </c>
    </row>
    <row r="690" spans="1:3" x14ac:dyDescent="0.25">
      <c r="A690" s="1" t="s">
        <v>14</v>
      </c>
      <c r="B690" s="1">
        <v>57.5</v>
      </c>
      <c r="C690" s="1">
        <v>2</v>
      </c>
    </row>
    <row r="691" spans="1:3" x14ac:dyDescent="0.25">
      <c r="A691" s="1" t="s">
        <v>6</v>
      </c>
      <c r="B691" s="1">
        <v>219.2</v>
      </c>
      <c r="C691" s="1">
        <v>6</v>
      </c>
    </row>
    <row r="692" spans="1:3" x14ac:dyDescent="0.25">
      <c r="A692" s="1" t="s">
        <v>40</v>
      </c>
      <c r="B692" s="1">
        <v>383.6</v>
      </c>
      <c r="C692" s="1">
        <v>7</v>
      </c>
    </row>
    <row r="693" spans="1:3" x14ac:dyDescent="0.25">
      <c r="A693" s="1" t="s">
        <v>62</v>
      </c>
      <c r="B693" s="1">
        <v>115.2</v>
      </c>
      <c r="C693" s="1">
        <v>3</v>
      </c>
    </row>
    <row r="694" spans="1:3" x14ac:dyDescent="0.25">
      <c r="A694" s="1" t="s">
        <v>26</v>
      </c>
      <c r="B694" s="1">
        <v>37.5</v>
      </c>
      <c r="C694" s="1">
        <v>1</v>
      </c>
    </row>
    <row r="695" spans="1:3" x14ac:dyDescent="0.25">
      <c r="A695" s="1" t="s">
        <v>49</v>
      </c>
      <c r="B695" s="1">
        <v>120</v>
      </c>
      <c r="C695" s="1">
        <v>3</v>
      </c>
    </row>
    <row r="696" spans="1:3" x14ac:dyDescent="0.25">
      <c r="A696" s="1" t="s">
        <v>16</v>
      </c>
      <c r="B696" s="1">
        <v>105.6</v>
      </c>
      <c r="C696" s="1">
        <v>3</v>
      </c>
    </row>
    <row r="697" spans="1:3" x14ac:dyDescent="0.25">
      <c r="A697" s="1" t="s">
        <v>33</v>
      </c>
      <c r="B697" s="1">
        <v>280</v>
      </c>
      <c r="C697" s="1">
        <v>7</v>
      </c>
    </row>
    <row r="698" spans="1:3" x14ac:dyDescent="0.25">
      <c r="A698" s="1" t="s">
        <v>31</v>
      </c>
      <c r="B698" s="1">
        <v>69.12</v>
      </c>
      <c r="C698" s="1">
        <v>4</v>
      </c>
    </row>
    <row r="699" spans="1:3" x14ac:dyDescent="0.25">
      <c r="A699" s="1" t="s">
        <v>13</v>
      </c>
      <c r="B699" s="1">
        <v>192</v>
      </c>
      <c r="C699" s="1">
        <v>5</v>
      </c>
    </row>
    <row r="700" spans="1:3" x14ac:dyDescent="0.25">
      <c r="A700" s="1" t="s">
        <v>9</v>
      </c>
      <c r="B700" s="1">
        <v>54.8</v>
      </c>
      <c r="C700" s="1">
        <v>1</v>
      </c>
    </row>
    <row r="701" spans="1:3" x14ac:dyDescent="0.25">
      <c r="A701" s="1" t="s">
        <v>47</v>
      </c>
      <c r="B701" s="1">
        <v>64</v>
      </c>
      <c r="C701" s="1">
        <v>1</v>
      </c>
    </row>
    <row r="702" spans="1:3" x14ac:dyDescent="0.25">
      <c r="A702" s="1" t="s">
        <v>53</v>
      </c>
      <c r="B702" s="1">
        <v>28.75</v>
      </c>
      <c r="C702" s="1">
        <v>1</v>
      </c>
    </row>
    <row r="703" spans="1:3" x14ac:dyDescent="0.25">
      <c r="A703" s="1" t="s">
        <v>35</v>
      </c>
      <c r="B703" s="1">
        <v>38.4</v>
      </c>
      <c r="C703" s="1">
        <v>1</v>
      </c>
    </row>
    <row r="704" spans="1:3" x14ac:dyDescent="0.25">
      <c r="A704" s="1" t="s">
        <v>15</v>
      </c>
      <c r="B704" s="1">
        <v>204</v>
      </c>
      <c r="C704" s="1">
        <v>3</v>
      </c>
    </row>
    <row r="705" spans="1:3" x14ac:dyDescent="0.25">
      <c r="A705" s="1" t="s">
        <v>10</v>
      </c>
      <c r="B705" s="1">
        <v>115.2</v>
      </c>
      <c r="C705" s="1">
        <v>3</v>
      </c>
    </row>
    <row r="706" spans="1:3" x14ac:dyDescent="0.25">
      <c r="A706" s="1" t="s">
        <v>54</v>
      </c>
      <c r="B706" s="1">
        <v>192</v>
      </c>
      <c r="C706" s="1">
        <v>9</v>
      </c>
    </row>
    <row r="707" spans="1:3" x14ac:dyDescent="0.25">
      <c r="A707" s="1" t="s">
        <v>59</v>
      </c>
      <c r="B707" s="1">
        <v>40</v>
      </c>
      <c r="C707" s="1">
        <v>1</v>
      </c>
    </row>
    <row r="708" spans="1:3" x14ac:dyDescent="0.25">
      <c r="A708" s="1" t="s">
        <v>74</v>
      </c>
      <c r="B708" s="1">
        <v>74</v>
      </c>
      <c r="C708" s="1">
        <v>1</v>
      </c>
    </row>
    <row r="709" spans="1:3" x14ac:dyDescent="0.25">
      <c r="A709" s="1" t="s">
        <v>27</v>
      </c>
      <c r="B709" s="1">
        <v>115.2</v>
      </c>
      <c r="C709" s="1">
        <v>3</v>
      </c>
    </row>
    <row r="710" spans="1:3" x14ac:dyDescent="0.25">
      <c r="A710" s="1" t="s">
        <v>55</v>
      </c>
      <c r="B710" s="1">
        <v>38.4</v>
      </c>
      <c r="C710" s="1">
        <v>1</v>
      </c>
    </row>
    <row r="711" spans="1:3" x14ac:dyDescent="0.25">
      <c r="A711" s="1" t="s">
        <v>52</v>
      </c>
      <c r="B711" s="1">
        <v>128</v>
      </c>
      <c r="C711" s="1">
        <v>2</v>
      </c>
    </row>
    <row r="712" spans="1:3" x14ac:dyDescent="0.25">
      <c r="A712" s="1" t="s">
        <v>36</v>
      </c>
      <c r="B712" s="1">
        <v>69.12</v>
      </c>
      <c r="C712" s="1">
        <v>2</v>
      </c>
    </row>
    <row r="713" spans="1:3" x14ac:dyDescent="0.25">
      <c r="A713" s="1" t="s">
        <v>41</v>
      </c>
      <c r="B713" s="1">
        <v>86.25</v>
      </c>
      <c r="C713" s="1">
        <v>3</v>
      </c>
    </row>
    <row r="714" spans="1:3" x14ac:dyDescent="0.25">
      <c r="A714" s="1" t="s">
        <v>39</v>
      </c>
      <c r="B714" s="1">
        <v>40</v>
      </c>
      <c r="C714" s="1">
        <v>1</v>
      </c>
    </row>
    <row r="715" spans="1:3" x14ac:dyDescent="0.25">
      <c r="A715" s="1" t="s">
        <v>30</v>
      </c>
      <c r="B715" s="1">
        <v>15.99</v>
      </c>
      <c r="C715" s="1">
        <v>1</v>
      </c>
    </row>
    <row r="716" spans="1:3" x14ac:dyDescent="0.25">
      <c r="A716" s="1" t="s">
        <v>67</v>
      </c>
      <c r="B716" s="1">
        <v>99.9</v>
      </c>
      <c r="C716" s="1">
        <v>2</v>
      </c>
    </row>
    <row r="717" spans="1:3" x14ac:dyDescent="0.25">
      <c r="A717" s="1" t="s">
        <v>43</v>
      </c>
      <c r="B717" s="1">
        <v>28.75</v>
      </c>
      <c r="C717" s="1">
        <v>1</v>
      </c>
    </row>
    <row r="718" spans="1:3" x14ac:dyDescent="0.25">
      <c r="A718" s="1" t="s">
        <v>44</v>
      </c>
      <c r="B718" s="1">
        <v>38.4</v>
      </c>
      <c r="C718" s="1">
        <v>1</v>
      </c>
    </row>
    <row r="719" spans="1:3" x14ac:dyDescent="0.25">
      <c r="A719" s="1" t="s">
        <v>45</v>
      </c>
      <c r="B719" s="1">
        <v>28.75</v>
      </c>
      <c r="C719" s="1">
        <v>1</v>
      </c>
    </row>
    <row r="720" spans="1:3" x14ac:dyDescent="0.25">
      <c r="A720" s="1" t="s">
        <v>68</v>
      </c>
      <c r="B720" s="1">
        <v>28.75</v>
      </c>
      <c r="C720" s="1">
        <v>1</v>
      </c>
    </row>
    <row r="721" spans="1:3" x14ac:dyDescent="0.25">
      <c r="A721" s="1" t="s">
        <v>56</v>
      </c>
      <c r="B721" s="1">
        <v>38.4</v>
      </c>
      <c r="C721" s="1">
        <v>1</v>
      </c>
    </row>
    <row r="722" spans="1:3" x14ac:dyDescent="0.25">
      <c r="A722" s="1" t="s">
        <v>94</v>
      </c>
      <c r="B722" s="1"/>
      <c r="C722" s="1"/>
    </row>
    <row r="723" spans="1:3" x14ac:dyDescent="0.25">
      <c r="A723" s="1" t="s">
        <v>1</v>
      </c>
      <c r="B723" s="1">
        <v>125</v>
      </c>
      <c r="C723" s="1"/>
    </row>
    <row r="724" spans="1:3" x14ac:dyDescent="0.25">
      <c r="A724" s="1" t="s">
        <v>2</v>
      </c>
      <c r="B724" s="1">
        <v>4722.3599999999997</v>
      </c>
      <c r="C724" s="1"/>
    </row>
    <row r="725" spans="1:3" x14ac:dyDescent="0.25">
      <c r="A725" s="1" t="s">
        <v>3</v>
      </c>
      <c r="B725" s="1" t="s">
        <v>4</v>
      </c>
      <c r="C725" s="1" t="s">
        <v>5</v>
      </c>
    </row>
    <row r="726" spans="1:3" x14ac:dyDescent="0.25">
      <c r="A726" s="1" t="s">
        <v>61</v>
      </c>
      <c r="B726" s="1">
        <v>64</v>
      </c>
      <c r="C726" s="1">
        <v>1</v>
      </c>
    </row>
    <row r="727" spans="1:3" x14ac:dyDescent="0.25">
      <c r="A727" s="1" t="s">
        <v>6</v>
      </c>
      <c r="B727" s="1">
        <v>219.2</v>
      </c>
      <c r="C727" s="1">
        <v>4</v>
      </c>
    </row>
    <row r="728" spans="1:3" x14ac:dyDescent="0.25">
      <c r="A728" s="1" t="s">
        <v>17</v>
      </c>
      <c r="B728" s="1">
        <v>614.4</v>
      </c>
      <c r="C728" s="1">
        <v>18</v>
      </c>
    </row>
    <row r="729" spans="1:3" x14ac:dyDescent="0.25">
      <c r="A729" s="1" t="s">
        <v>59</v>
      </c>
      <c r="B729" s="1">
        <v>40</v>
      </c>
      <c r="C729" s="1">
        <v>1</v>
      </c>
    </row>
    <row r="730" spans="1:3" x14ac:dyDescent="0.25">
      <c r="A730" s="1" t="s">
        <v>51</v>
      </c>
      <c r="B730" s="1">
        <v>38.4</v>
      </c>
      <c r="C730" s="1">
        <v>1</v>
      </c>
    </row>
    <row r="731" spans="1:3" x14ac:dyDescent="0.25">
      <c r="A731" s="1" t="s">
        <v>12</v>
      </c>
      <c r="B731" s="1">
        <v>210</v>
      </c>
      <c r="C731" s="1">
        <v>6</v>
      </c>
    </row>
    <row r="732" spans="1:3" x14ac:dyDescent="0.25">
      <c r="A732" s="1" t="s">
        <v>20</v>
      </c>
      <c r="B732" s="1">
        <v>614.4</v>
      </c>
      <c r="C732" s="1">
        <v>20</v>
      </c>
    </row>
    <row r="733" spans="1:3" x14ac:dyDescent="0.25">
      <c r="A733" s="1" t="s">
        <v>26</v>
      </c>
      <c r="B733" s="1">
        <v>37.5</v>
      </c>
      <c r="C733" s="1">
        <v>1</v>
      </c>
    </row>
    <row r="734" spans="1:3" x14ac:dyDescent="0.25">
      <c r="A734" s="1" t="s">
        <v>22</v>
      </c>
      <c r="B734" s="1">
        <v>219.2</v>
      </c>
      <c r="C734" s="1">
        <v>4</v>
      </c>
    </row>
    <row r="735" spans="1:3" x14ac:dyDescent="0.25">
      <c r="A735" s="1" t="s">
        <v>8</v>
      </c>
      <c r="B735" s="1">
        <v>493.2</v>
      </c>
      <c r="C735" s="1">
        <v>11</v>
      </c>
    </row>
    <row r="736" spans="1:3" x14ac:dyDescent="0.25">
      <c r="A736" s="1" t="s">
        <v>10</v>
      </c>
      <c r="B736" s="1">
        <v>115.2</v>
      </c>
      <c r="C736" s="1">
        <v>3</v>
      </c>
    </row>
    <row r="737" spans="1:3" x14ac:dyDescent="0.25">
      <c r="A737" s="1" t="s">
        <v>13</v>
      </c>
      <c r="B737" s="1">
        <v>153.6</v>
      </c>
      <c r="C737" s="1">
        <v>8</v>
      </c>
    </row>
    <row r="738" spans="1:3" x14ac:dyDescent="0.25">
      <c r="A738" s="1" t="s">
        <v>19</v>
      </c>
      <c r="B738" s="1">
        <v>57.5</v>
      </c>
      <c r="C738" s="1">
        <v>2</v>
      </c>
    </row>
    <row r="739" spans="1:3" x14ac:dyDescent="0.25">
      <c r="A739" s="1" t="s">
        <v>49</v>
      </c>
      <c r="B739" s="1">
        <v>40</v>
      </c>
      <c r="C739" s="1">
        <v>1</v>
      </c>
    </row>
    <row r="740" spans="1:3" x14ac:dyDescent="0.25">
      <c r="A740" s="1" t="s">
        <v>71</v>
      </c>
      <c r="B740" s="1">
        <v>40</v>
      </c>
      <c r="C740" s="1">
        <v>1</v>
      </c>
    </row>
    <row r="741" spans="1:3" x14ac:dyDescent="0.25">
      <c r="A741" s="1" t="s">
        <v>40</v>
      </c>
      <c r="B741" s="1">
        <v>164.4</v>
      </c>
      <c r="C741" s="1">
        <v>3</v>
      </c>
    </row>
    <row r="742" spans="1:3" x14ac:dyDescent="0.25">
      <c r="A742" s="1" t="s">
        <v>14</v>
      </c>
      <c r="B742" s="1">
        <v>28.75</v>
      </c>
      <c r="C742" s="1">
        <v>1</v>
      </c>
    </row>
    <row r="743" spans="1:3" x14ac:dyDescent="0.25">
      <c r="A743" s="1" t="s">
        <v>16</v>
      </c>
      <c r="B743" s="1">
        <v>70.400000000000006</v>
      </c>
      <c r="C743" s="1">
        <v>2</v>
      </c>
    </row>
    <row r="744" spans="1:3" x14ac:dyDescent="0.25">
      <c r="A744" s="1" t="s">
        <v>62</v>
      </c>
      <c r="B744" s="1">
        <v>76.8</v>
      </c>
      <c r="C744" s="1">
        <v>2</v>
      </c>
    </row>
    <row r="745" spans="1:3" x14ac:dyDescent="0.25">
      <c r="A745" s="1" t="s">
        <v>50</v>
      </c>
      <c r="B745" s="1">
        <v>85</v>
      </c>
      <c r="C745" s="1">
        <v>2</v>
      </c>
    </row>
    <row r="746" spans="1:3" x14ac:dyDescent="0.25">
      <c r="A746" s="1" t="s">
        <v>21</v>
      </c>
      <c r="B746" s="1">
        <v>219.2</v>
      </c>
      <c r="C746" s="1">
        <v>4</v>
      </c>
    </row>
    <row r="747" spans="1:3" x14ac:dyDescent="0.25">
      <c r="A747" s="1" t="s">
        <v>54</v>
      </c>
      <c r="B747" s="1">
        <v>38.4</v>
      </c>
      <c r="C747" s="1">
        <v>1</v>
      </c>
    </row>
    <row r="748" spans="1:3" x14ac:dyDescent="0.25">
      <c r="A748" s="1" t="s">
        <v>25</v>
      </c>
      <c r="B748" s="1">
        <v>80</v>
      </c>
      <c r="C748" s="1">
        <v>2</v>
      </c>
    </row>
    <row r="749" spans="1:3" x14ac:dyDescent="0.25">
      <c r="A749" s="1" t="s">
        <v>57</v>
      </c>
      <c r="B749" s="1">
        <v>40</v>
      </c>
      <c r="C749" s="1">
        <v>1</v>
      </c>
    </row>
    <row r="750" spans="1:3" x14ac:dyDescent="0.25">
      <c r="A750" s="1" t="s">
        <v>18</v>
      </c>
      <c r="B750" s="1">
        <v>268.8</v>
      </c>
      <c r="C750" s="1">
        <v>7</v>
      </c>
    </row>
    <row r="751" spans="1:3" x14ac:dyDescent="0.25">
      <c r="A751" s="1" t="s">
        <v>11</v>
      </c>
      <c r="B751" s="1">
        <v>40</v>
      </c>
      <c r="C751" s="1">
        <v>1</v>
      </c>
    </row>
    <row r="752" spans="1:3" x14ac:dyDescent="0.25">
      <c r="A752" s="1" t="s">
        <v>42</v>
      </c>
      <c r="B752" s="1">
        <v>40</v>
      </c>
      <c r="C752" s="1">
        <v>1</v>
      </c>
    </row>
    <row r="753" spans="1:3" x14ac:dyDescent="0.25">
      <c r="A753" s="1" t="s">
        <v>27</v>
      </c>
      <c r="B753" s="1">
        <v>76.8</v>
      </c>
      <c r="C753" s="1">
        <v>2</v>
      </c>
    </row>
    <row r="754" spans="1:3" x14ac:dyDescent="0.25">
      <c r="A754" s="1" t="s">
        <v>33</v>
      </c>
      <c r="B754" s="1">
        <v>280</v>
      </c>
      <c r="C754" s="1">
        <v>7</v>
      </c>
    </row>
    <row r="755" spans="1:3" x14ac:dyDescent="0.25">
      <c r="A755" s="1" t="s">
        <v>56</v>
      </c>
      <c r="B755" s="1">
        <v>38.4</v>
      </c>
      <c r="C755" s="1">
        <v>1</v>
      </c>
    </row>
    <row r="756" spans="1:3" x14ac:dyDescent="0.25">
      <c r="A756" s="1" t="s">
        <v>67</v>
      </c>
      <c r="B756" s="1">
        <v>49.95</v>
      </c>
      <c r="C756" s="1">
        <v>1</v>
      </c>
    </row>
    <row r="757" spans="1:3" x14ac:dyDescent="0.25">
      <c r="A757" s="1" t="s">
        <v>41</v>
      </c>
      <c r="B757" s="1">
        <v>57.5</v>
      </c>
      <c r="C757" s="1">
        <v>2</v>
      </c>
    </row>
    <row r="758" spans="1:3" x14ac:dyDescent="0.25">
      <c r="A758" s="1" t="s">
        <v>36</v>
      </c>
      <c r="B758" s="1">
        <v>34.56</v>
      </c>
      <c r="C758" s="1">
        <v>1</v>
      </c>
    </row>
    <row r="759" spans="1:3" x14ac:dyDescent="0.25">
      <c r="A759" s="1" t="s">
        <v>44</v>
      </c>
      <c r="B759" s="1">
        <v>76.8</v>
      </c>
      <c r="C759" s="1">
        <v>2</v>
      </c>
    </row>
    <row r="760" spans="1:3" x14ac:dyDescent="0.25">
      <c r="A760" s="1" t="s">
        <v>95</v>
      </c>
      <c r="B760" s="1"/>
      <c r="C760" s="1"/>
    </row>
    <row r="761" spans="1:3" x14ac:dyDescent="0.25">
      <c r="A761" s="1" t="s">
        <v>1</v>
      </c>
      <c r="B761" s="1">
        <v>22</v>
      </c>
      <c r="C761" s="1"/>
    </row>
    <row r="762" spans="1:3" x14ac:dyDescent="0.25">
      <c r="A762" s="1" t="s">
        <v>2</v>
      </c>
      <c r="B762" s="1">
        <v>954.4</v>
      </c>
      <c r="C762" s="1"/>
    </row>
    <row r="763" spans="1:3" x14ac:dyDescent="0.25">
      <c r="A763" s="1" t="s">
        <v>3</v>
      </c>
      <c r="B763" s="1" t="s">
        <v>4</v>
      </c>
      <c r="C763" s="1" t="s">
        <v>5</v>
      </c>
    </row>
    <row r="764" spans="1:3" x14ac:dyDescent="0.25">
      <c r="A764" s="1" t="s">
        <v>7</v>
      </c>
      <c r="B764" s="1">
        <v>109.6</v>
      </c>
      <c r="C764" s="1">
        <v>2</v>
      </c>
    </row>
    <row r="765" spans="1:3" x14ac:dyDescent="0.25">
      <c r="A765" s="1" t="s">
        <v>8</v>
      </c>
      <c r="B765" s="1">
        <v>109.6</v>
      </c>
      <c r="C765" s="1">
        <v>2</v>
      </c>
    </row>
    <row r="766" spans="1:3" x14ac:dyDescent="0.25">
      <c r="A766" s="1" t="s">
        <v>20</v>
      </c>
      <c r="B766" s="1">
        <v>230.4</v>
      </c>
      <c r="C766" s="1">
        <v>7</v>
      </c>
    </row>
    <row r="767" spans="1:3" x14ac:dyDescent="0.25">
      <c r="A767" s="1" t="s">
        <v>14</v>
      </c>
      <c r="B767" s="1">
        <v>28.75</v>
      </c>
      <c r="C767" s="1">
        <v>1</v>
      </c>
    </row>
    <row r="768" spans="1:3" x14ac:dyDescent="0.25">
      <c r="A768" s="1" t="s">
        <v>26</v>
      </c>
      <c r="B768" s="1">
        <v>37.5</v>
      </c>
      <c r="C768" s="1">
        <v>1</v>
      </c>
    </row>
    <row r="769" spans="1:3" x14ac:dyDescent="0.25">
      <c r="A769" s="1" t="s">
        <v>21</v>
      </c>
      <c r="B769" s="1">
        <v>54.8</v>
      </c>
      <c r="C769" s="1">
        <v>1</v>
      </c>
    </row>
    <row r="770" spans="1:3" x14ac:dyDescent="0.25">
      <c r="A770" s="1" t="s">
        <v>49</v>
      </c>
      <c r="B770" s="1">
        <v>40</v>
      </c>
      <c r="C770" s="1">
        <v>1</v>
      </c>
    </row>
    <row r="771" spans="1:3" x14ac:dyDescent="0.25">
      <c r="A771" s="1" t="s">
        <v>33</v>
      </c>
      <c r="B771" s="1">
        <v>80</v>
      </c>
      <c r="C771" s="1">
        <v>2</v>
      </c>
    </row>
    <row r="772" spans="1:3" x14ac:dyDescent="0.25">
      <c r="A772" s="1" t="s">
        <v>52</v>
      </c>
      <c r="B772" s="1">
        <v>64</v>
      </c>
      <c r="C772" s="1">
        <v>1</v>
      </c>
    </row>
    <row r="773" spans="1:3" x14ac:dyDescent="0.25">
      <c r="A773" s="1" t="s">
        <v>53</v>
      </c>
      <c r="B773" s="1">
        <v>28.75</v>
      </c>
      <c r="C773" s="1">
        <v>1</v>
      </c>
    </row>
    <row r="774" spans="1:3" x14ac:dyDescent="0.25">
      <c r="A774" s="1" t="s">
        <v>12</v>
      </c>
      <c r="B774" s="1">
        <v>35</v>
      </c>
      <c r="C774" s="1">
        <v>1</v>
      </c>
    </row>
    <row r="775" spans="1:3" x14ac:dyDescent="0.25">
      <c r="A775" s="1" t="s">
        <v>15</v>
      </c>
      <c r="B775" s="1">
        <v>136</v>
      </c>
      <c r="C775" s="1">
        <v>2</v>
      </c>
    </row>
    <row r="776" spans="1:3" x14ac:dyDescent="0.25">
      <c r="A776" s="1" t="s">
        <v>96</v>
      </c>
      <c r="B776" s="1"/>
      <c r="C776" s="1"/>
    </row>
    <row r="777" spans="1:3" x14ac:dyDescent="0.25">
      <c r="A777" s="1" t="s">
        <v>1</v>
      </c>
      <c r="B777" s="1">
        <v>125</v>
      </c>
      <c r="C777" s="1"/>
    </row>
    <row r="778" spans="1:3" x14ac:dyDescent="0.25">
      <c r="A778" s="1" t="s">
        <v>2</v>
      </c>
      <c r="B778" s="1">
        <v>5421.5</v>
      </c>
      <c r="C778" s="1"/>
    </row>
    <row r="779" spans="1:3" x14ac:dyDescent="0.25">
      <c r="A779" s="1" t="s">
        <v>3</v>
      </c>
      <c r="B779" s="1" t="s">
        <v>4</v>
      </c>
      <c r="C779" s="1" t="s">
        <v>5</v>
      </c>
    </row>
    <row r="780" spans="1:3" x14ac:dyDescent="0.25">
      <c r="A780" s="1" t="s">
        <v>21</v>
      </c>
      <c r="B780" s="1">
        <v>767.2</v>
      </c>
      <c r="C780" s="1">
        <v>14</v>
      </c>
    </row>
    <row r="781" spans="1:3" x14ac:dyDescent="0.25">
      <c r="A781" s="1" t="s">
        <v>7</v>
      </c>
      <c r="B781" s="1">
        <v>274</v>
      </c>
      <c r="C781" s="1">
        <v>6</v>
      </c>
    </row>
    <row r="782" spans="1:3" x14ac:dyDescent="0.25">
      <c r="A782" s="1" t="s">
        <v>18</v>
      </c>
      <c r="B782" s="1">
        <v>499.2</v>
      </c>
      <c r="C782" s="1">
        <v>13</v>
      </c>
    </row>
    <row r="783" spans="1:3" x14ac:dyDescent="0.25">
      <c r="A783" s="1" t="s">
        <v>17</v>
      </c>
      <c r="B783" s="1">
        <v>460.8</v>
      </c>
      <c r="C783" s="1">
        <v>13</v>
      </c>
    </row>
    <row r="784" spans="1:3" x14ac:dyDescent="0.25">
      <c r="A784" s="1" t="s">
        <v>40</v>
      </c>
      <c r="B784" s="1">
        <v>219.2</v>
      </c>
      <c r="C784" s="1">
        <v>4</v>
      </c>
    </row>
    <row r="785" spans="1:3" x14ac:dyDescent="0.25">
      <c r="A785" s="1" t="s">
        <v>8</v>
      </c>
      <c r="B785" s="1">
        <v>602.79999999999995</v>
      </c>
      <c r="C785" s="1">
        <v>11</v>
      </c>
    </row>
    <row r="786" spans="1:3" x14ac:dyDescent="0.25">
      <c r="A786" s="1" t="s">
        <v>14</v>
      </c>
      <c r="B786" s="1">
        <v>28.75</v>
      </c>
      <c r="C786" s="1">
        <v>1</v>
      </c>
    </row>
    <row r="787" spans="1:3" x14ac:dyDescent="0.25">
      <c r="A787" s="1" t="s">
        <v>42</v>
      </c>
      <c r="B787" s="1">
        <v>40</v>
      </c>
      <c r="C787" s="1">
        <v>1</v>
      </c>
    </row>
    <row r="788" spans="1:3" x14ac:dyDescent="0.25">
      <c r="A788" s="1" t="s">
        <v>12</v>
      </c>
      <c r="B788" s="1">
        <v>385</v>
      </c>
      <c r="C788" s="1">
        <v>11</v>
      </c>
    </row>
    <row r="789" spans="1:3" x14ac:dyDescent="0.25">
      <c r="A789" s="1" t="s">
        <v>9</v>
      </c>
      <c r="B789" s="1">
        <v>219.2</v>
      </c>
      <c r="C789" s="1">
        <v>4</v>
      </c>
    </row>
    <row r="790" spans="1:3" x14ac:dyDescent="0.25">
      <c r="A790" s="1" t="s">
        <v>51</v>
      </c>
      <c r="B790" s="1">
        <v>192</v>
      </c>
      <c r="C790" s="1">
        <v>5</v>
      </c>
    </row>
    <row r="791" spans="1:3" x14ac:dyDescent="0.25">
      <c r="A791" s="1" t="s">
        <v>49</v>
      </c>
      <c r="B791" s="1">
        <v>80</v>
      </c>
      <c r="C791" s="1">
        <v>2</v>
      </c>
    </row>
    <row r="792" spans="1:3" x14ac:dyDescent="0.25">
      <c r="A792" s="1" t="s">
        <v>22</v>
      </c>
      <c r="B792" s="1">
        <v>54.8</v>
      </c>
      <c r="C792" s="1">
        <v>1</v>
      </c>
    </row>
    <row r="793" spans="1:3" x14ac:dyDescent="0.25">
      <c r="A793" s="1" t="s">
        <v>20</v>
      </c>
      <c r="B793" s="1">
        <v>192</v>
      </c>
      <c r="C793" s="1">
        <v>5</v>
      </c>
    </row>
    <row r="794" spans="1:3" x14ac:dyDescent="0.25">
      <c r="A794" s="1" t="s">
        <v>13</v>
      </c>
      <c r="B794" s="1">
        <v>115.2</v>
      </c>
      <c r="C794" s="1">
        <v>3</v>
      </c>
    </row>
    <row r="795" spans="1:3" x14ac:dyDescent="0.25">
      <c r="A795" s="1" t="s">
        <v>25</v>
      </c>
      <c r="B795" s="1">
        <v>40</v>
      </c>
      <c r="C795" s="1">
        <v>1</v>
      </c>
    </row>
    <row r="796" spans="1:3" x14ac:dyDescent="0.25">
      <c r="A796" s="1" t="s">
        <v>6</v>
      </c>
      <c r="B796" s="1">
        <v>274</v>
      </c>
      <c r="C796" s="1">
        <v>8</v>
      </c>
    </row>
    <row r="797" spans="1:3" x14ac:dyDescent="0.25">
      <c r="A797" s="1" t="s">
        <v>41</v>
      </c>
      <c r="B797" s="1">
        <v>86.25</v>
      </c>
      <c r="C797" s="1">
        <v>3</v>
      </c>
    </row>
    <row r="798" spans="1:3" x14ac:dyDescent="0.25">
      <c r="A798" s="1" t="s">
        <v>33</v>
      </c>
      <c r="B798" s="1">
        <v>120</v>
      </c>
      <c r="C798" s="1">
        <v>3</v>
      </c>
    </row>
    <row r="799" spans="1:3" x14ac:dyDescent="0.25">
      <c r="A799" s="1" t="s">
        <v>61</v>
      </c>
      <c r="B799" s="1">
        <v>128</v>
      </c>
      <c r="C799" s="1">
        <v>2</v>
      </c>
    </row>
    <row r="800" spans="1:3" x14ac:dyDescent="0.25">
      <c r="A800" s="1" t="s">
        <v>56</v>
      </c>
      <c r="B800" s="1">
        <v>115.2</v>
      </c>
      <c r="C800" s="1">
        <v>3</v>
      </c>
    </row>
    <row r="801" spans="1:3" x14ac:dyDescent="0.25">
      <c r="A801" s="1" t="s">
        <v>59</v>
      </c>
      <c r="B801" s="1">
        <v>80</v>
      </c>
      <c r="C801" s="1">
        <v>2</v>
      </c>
    </row>
    <row r="802" spans="1:3" x14ac:dyDescent="0.25">
      <c r="A802" s="1" t="s">
        <v>67</v>
      </c>
      <c r="B802" s="1">
        <v>99.9</v>
      </c>
      <c r="C802" s="1">
        <v>2</v>
      </c>
    </row>
    <row r="803" spans="1:3" x14ac:dyDescent="0.25">
      <c r="A803" s="1" t="s">
        <v>37</v>
      </c>
      <c r="B803" s="1">
        <v>54.8</v>
      </c>
      <c r="C803" s="1">
        <v>1</v>
      </c>
    </row>
    <row r="804" spans="1:3" x14ac:dyDescent="0.25">
      <c r="A804" s="1" t="s">
        <v>34</v>
      </c>
      <c r="B804" s="1">
        <v>64</v>
      </c>
      <c r="C804" s="1">
        <v>1</v>
      </c>
    </row>
    <row r="805" spans="1:3" x14ac:dyDescent="0.25">
      <c r="A805" s="1" t="s">
        <v>74</v>
      </c>
      <c r="B805" s="1">
        <v>74</v>
      </c>
      <c r="C805" s="1">
        <v>1</v>
      </c>
    </row>
    <row r="806" spans="1:3" x14ac:dyDescent="0.25">
      <c r="A806" s="1" t="s">
        <v>10</v>
      </c>
      <c r="B806" s="1">
        <v>38.4</v>
      </c>
      <c r="C806" s="1">
        <v>1</v>
      </c>
    </row>
    <row r="807" spans="1:3" x14ac:dyDescent="0.25">
      <c r="A807" s="1" t="s">
        <v>57</v>
      </c>
      <c r="B807" s="1">
        <v>40</v>
      </c>
      <c r="C807" s="1">
        <v>1</v>
      </c>
    </row>
    <row r="808" spans="1:3" x14ac:dyDescent="0.25">
      <c r="A808" s="1" t="s">
        <v>54</v>
      </c>
      <c r="B808" s="1">
        <v>38.4</v>
      </c>
      <c r="C808" s="1">
        <v>1</v>
      </c>
    </row>
    <row r="809" spans="1:3" x14ac:dyDescent="0.25">
      <c r="A809" s="1" t="s">
        <v>44</v>
      </c>
      <c r="B809" s="1">
        <v>38.4</v>
      </c>
      <c r="C809" s="1">
        <v>1</v>
      </c>
    </row>
    <row r="810" spans="1:3" x14ac:dyDescent="0.25">
      <c r="A810" s="1" t="s">
        <v>97</v>
      </c>
      <c r="B810" s="1"/>
      <c r="C810" s="1"/>
    </row>
    <row r="811" spans="1:3" x14ac:dyDescent="0.25">
      <c r="A811" s="1" t="s">
        <v>1</v>
      </c>
      <c r="B811" s="1">
        <v>164</v>
      </c>
      <c r="C811" s="1"/>
    </row>
    <row r="812" spans="1:3" x14ac:dyDescent="0.25">
      <c r="A812" s="1" t="s">
        <v>2</v>
      </c>
      <c r="B812" s="1">
        <v>6141.01</v>
      </c>
      <c r="C812" s="1"/>
    </row>
    <row r="813" spans="1:3" x14ac:dyDescent="0.25">
      <c r="A813" s="1" t="s">
        <v>3</v>
      </c>
      <c r="B813" s="1" t="s">
        <v>4</v>
      </c>
      <c r="C813" s="1" t="s">
        <v>5</v>
      </c>
    </row>
    <row r="814" spans="1:3" x14ac:dyDescent="0.25">
      <c r="A814" s="1" t="s">
        <v>29</v>
      </c>
      <c r="B814" s="1">
        <v>38.4</v>
      </c>
      <c r="C814" s="1">
        <v>1</v>
      </c>
    </row>
    <row r="815" spans="1:3" x14ac:dyDescent="0.25">
      <c r="A815" s="1" t="s">
        <v>51</v>
      </c>
      <c r="B815" s="1">
        <v>307.2</v>
      </c>
      <c r="C815" s="1">
        <v>12</v>
      </c>
    </row>
    <row r="816" spans="1:3" x14ac:dyDescent="0.25">
      <c r="A816" s="1" t="s">
        <v>7</v>
      </c>
      <c r="B816" s="1">
        <v>328.8</v>
      </c>
      <c r="C816" s="1">
        <v>6</v>
      </c>
    </row>
    <row r="817" spans="1:3" x14ac:dyDescent="0.25">
      <c r="A817" s="1" t="s">
        <v>20</v>
      </c>
      <c r="B817" s="1">
        <v>192</v>
      </c>
      <c r="C817" s="1">
        <v>5</v>
      </c>
    </row>
    <row r="818" spans="1:3" x14ac:dyDescent="0.25">
      <c r="A818" s="1" t="s">
        <v>16</v>
      </c>
      <c r="B818" s="1">
        <v>70.400000000000006</v>
      </c>
      <c r="C818" s="1">
        <v>3</v>
      </c>
    </row>
    <row r="819" spans="1:3" x14ac:dyDescent="0.25">
      <c r="A819" s="1" t="s">
        <v>12</v>
      </c>
      <c r="B819" s="1">
        <v>420</v>
      </c>
      <c r="C819" s="1">
        <v>12</v>
      </c>
    </row>
    <row r="820" spans="1:3" x14ac:dyDescent="0.25">
      <c r="A820" s="1" t="s">
        <v>17</v>
      </c>
      <c r="B820" s="1">
        <v>1382.4</v>
      </c>
      <c r="C820" s="1">
        <v>43</v>
      </c>
    </row>
    <row r="821" spans="1:3" x14ac:dyDescent="0.25">
      <c r="A821" s="1" t="s">
        <v>18</v>
      </c>
      <c r="B821" s="1">
        <v>729.6</v>
      </c>
      <c r="C821" s="1">
        <v>20</v>
      </c>
    </row>
    <row r="822" spans="1:3" x14ac:dyDescent="0.25">
      <c r="A822" s="1" t="s">
        <v>21</v>
      </c>
      <c r="B822" s="1">
        <v>274</v>
      </c>
      <c r="C822" s="1">
        <v>5</v>
      </c>
    </row>
    <row r="823" spans="1:3" x14ac:dyDescent="0.25">
      <c r="A823" s="1" t="s">
        <v>62</v>
      </c>
      <c r="B823" s="1">
        <v>115.2</v>
      </c>
      <c r="C823" s="1">
        <v>3</v>
      </c>
    </row>
    <row r="824" spans="1:3" x14ac:dyDescent="0.25">
      <c r="A824" s="1" t="s">
        <v>19</v>
      </c>
      <c r="B824" s="1">
        <v>28.75</v>
      </c>
      <c r="C824" s="1">
        <v>1</v>
      </c>
    </row>
    <row r="825" spans="1:3" x14ac:dyDescent="0.25">
      <c r="A825" s="1" t="s">
        <v>14</v>
      </c>
      <c r="B825" s="1">
        <v>28.75</v>
      </c>
      <c r="C825" s="1">
        <v>1</v>
      </c>
    </row>
    <row r="826" spans="1:3" x14ac:dyDescent="0.25">
      <c r="A826" s="1" t="s">
        <v>8</v>
      </c>
      <c r="B826" s="1">
        <v>712.4</v>
      </c>
      <c r="C826" s="1">
        <v>13</v>
      </c>
    </row>
    <row r="827" spans="1:3" x14ac:dyDescent="0.25">
      <c r="A827" s="1" t="s">
        <v>26</v>
      </c>
      <c r="B827" s="1">
        <v>37.5</v>
      </c>
      <c r="C827" s="1">
        <v>1</v>
      </c>
    </row>
    <row r="828" spans="1:3" x14ac:dyDescent="0.25">
      <c r="A828" s="1" t="s">
        <v>28</v>
      </c>
      <c r="B828" s="1">
        <v>76.8</v>
      </c>
      <c r="C828" s="1">
        <v>2</v>
      </c>
    </row>
    <row r="829" spans="1:3" x14ac:dyDescent="0.25">
      <c r="A829" s="1" t="s">
        <v>61</v>
      </c>
      <c r="B829" s="1">
        <v>64</v>
      </c>
      <c r="C829" s="1">
        <v>1</v>
      </c>
    </row>
    <row r="830" spans="1:3" x14ac:dyDescent="0.25">
      <c r="A830" s="1" t="s">
        <v>13</v>
      </c>
      <c r="B830" s="1">
        <v>76.8</v>
      </c>
      <c r="C830" s="1">
        <v>4</v>
      </c>
    </row>
    <row r="831" spans="1:3" x14ac:dyDescent="0.25">
      <c r="A831" s="1" t="s">
        <v>10</v>
      </c>
      <c r="B831" s="1">
        <v>38.4</v>
      </c>
      <c r="C831" s="1">
        <v>1</v>
      </c>
    </row>
    <row r="832" spans="1:3" x14ac:dyDescent="0.25">
      <c r="A832" s="1" t="s">
        <v>15</v>
      </c>
      <c r="B832" s="1">
        <v>68</v>
      </c>
      <c r="C832" s="1">
        <v>1</v>
      </c>
    </row>
    <row r="833" spans="1:3" x14ac:dyDescent="0.25">
      <c r="A833" s="1" t="s">
        <v>36</v>
      </c>
      <c r="B833" s="1">
        <v>111.36</v>
      </c>
      <c r="C833" s="1">
        <v>4</v>
      </c>
    </row>
    <row r="834" spans="1:3" x14ac:dyDescent="0.25">
      <c r="A834" s="1" t="s">
        <v>56</v>
      </c>
      <c r="B834" s="1">
        <v>153.6</v>
      </c>
      <c r="C834" s="1">
        <v>4</v>
      </c>
    </row>
    <row r="835" spans="1:3" x14ac:dyDescent="0.25">
      <c r="A835" s="1" t="s">
        <v>40</v>
      </c>
      <c r="B835" s="1">
        <v>274</v>
      </c>
      <c r="C835" s="1">
        <v>5</v>
      </c>
    </row>
    <row r="836" spans="1:3" x14ac:dyDescent="0.25">
      <c r="A836" s="1" t="s">
        <v>27</v>
      </c>
      <c r="B836" s="1">
        <v>192</v>
      </c>
      <c r="C836" s="1">
        <v>6</v>
      </c>
    </row>
    <row r="837" spans="1:3" x14ac:dyDescent="0.25">
      <c r="A837" s="1" t="s">
        <v>49</v>
      </c>
      <c r="B837" s="1">
        <v>40</v>
      </c>
      <c r="C837" s="1">
        <v>1</v>
      </c>
    </row>
    <row r="838" spans="1:3" x14ac:dyDescent="0.25">
      <c r="A838" s="1" t="s">
        <v>67</v>
      </c>
      <c r="B838" s="1">
        <v>99.9</v>
      </c>
      <c r="C838" s="1">
        <v>2</v>
      </c>
    </row>
    <row r="839" spans="1:3" x14ac:dyDescent="0.25">
      <c r="A839" s="1" t="s">
        <v>9</v>
      </c>
      <c r="B839" s="1">
        <v>54.8</v>
      </c>
      <c r="C839" s="1">
        <v>2</v>
      </c>
    </row>
    <row r="840" spans="1:3" x14ac:dyDescent="0.25">
      <c r="A840" s="1" t="s">
        <v>69</v>
      </c>
      <c r="B840" s="1">
        <v>64</v>
      </c>
      <c r="C840" s="1">
        <v>1</v>
      </c>
    </row>
    <row r="841" spans="1:3" x14ac:dyDescent="0.25">
      <c r="A841" s="1" t="s">
        <v>25</v>
      </c>
      <c r="B841" s="1">
        <v>40</v>
      </c>
      <c r="C841" s="1">
        <v>1</v>
      </c>
    </row>
    <row r="842" spans="1:3" x14ac:dyDescent="0.25">
      <c r="A842" s="1" t="s">
        <v>6</v>
      </c>
      <c r="B842" s="1">
        <v>54.8</v>
      </c>
      <c r="C842" s="1">
        <v>1</v>
      </c>
    </row>
    <row r="843" spans="1:3" x14ac:dyDescent="0.25">
      <c r="A843" s="1" t="s">
        <v>43</v>
      </c>
      <c r="B843" s="1">
        <v>28.75</v>
      </c>
      <c r="C843" s="1">
        <v>1</v>
      </c>
    </row>
    <row r="844" spans="1:3" x14ac:dyDescent="0.25">
      <c r="A844" s="1" t="s">
        <v>44</v>
      </c>
      <c r="B844" s="1">
        <v>38.4</v>
      </c>
      <c r="C844" s="1">
        <v>1</v>
      </c>
    </row>
    <row r="845" spans="1:3" x14ac:dyDescent="0.25">
      <c r="A845" s="1" t="s">
        <v>98</v>
      </c>
      <c r="B845" s="1"/>
      <c r="C845" s="1"/>
    </row>
    <row r="846" spans="1:3" x14ac:dyDescent="0.25">
      <c r="A846" s="1" t="s">
        <v>1</v>
      </c>
      <c r="B846" s="1">
        <v>34</v>
      </c>
      <c r="C846" s="1"/>
    </row>
    <row r="847" spans="1:3" x14ac:dyDescent="0.25">
      <c r="A847" s="1" t="s">
        <v>2</v>
      </c>
      <c r="B847" s="1">
        <v>1601.45</v>
      </c>
      <c r="C847" s="1"/>
    </row>
    <row r="848" spans="1:3" x14ac:dyDescent="0.25">
      <c r="A848" s="1" t="s">
        <v>3</v>
      </c>
      <c r="B848" s="1" t="s">
        <v>4</v>
      </c>
      <c r="C848" s="1" t="s">
        <v>5</v>
      </c>
    </row>
    <row r="849" spans="1:3" x14ac:dyDescent="0.25">
      <c r="A849" s="1" t="s">
        <v>8</v>
      </c>
      <c r="B849" s="1">
        <v>712.4</v>
      </c>
      <c r="C849" s="1">
        <v>13</v>
      </c>
    </row>
    <row r="850" spans="1:3" x14ac:dyDescent="0.25">
      <c r="A850" s="1" t="s">
        <v>17</v>
      </c>
      <c r="B850" s="1">
        <v>192</v>
      </c>
      <c r="C850" s="1">
        <v>5</v>
      </c>
    </row>
    <row r="851" spans="1:3" x14ac:dyDescent="0.25">
      <c r="A851" s="1" t="s">
        <v>18</v>
      </c>
      <c r="B851" s="1">
        <v>153.6</v>
      </c>
      <c r="C851" s="1">
        <v>4</v>
      </c>
    </row>
    <row r="852" spans="1:3" x14ac:dyDescent="0.25">
      <c r="A852" s="1" t="s">
        <v>21</v>
      </c>
      <c r="B852" s="1">
        <v>164.4</v>
      </c>
      <c r="C852" s="1">
        <v>3</v>
      </c>
    </row>
    <row r="853" spans="1:3" x14ac:dyDescent="0.25">
      <c r="A853" s="1" t="s">
        <v>26</v>
      </c>
      <c r="B853" s="1">
        <v>37.5</v>
      </c>
      <c r="C853" s="1">
        <v>1</v>
      </c>
    </row>
    <row r="854" spans="1:3" x14ac:dyDescent="0.25">
      <c r="A854" s="1" t="s">
        <v>40</v>
      </c>
      <c r="B854" s="1">
        <v>54.8</v>
      </c>
      <c r="C854" s="1">
        <v>1</v>
      </c>
    </row>
    <row r="855" spans="1:3" x14ac:dyDescent="0.25">
      <c r="A855" s="1" t="s">
        <v>49</v>
      </c>
      <c r="B855" s="1">
        <v>40</v>
      </c>
      <c r="C855" s="1">
        <v>1</v>
      </c>
    </row>
    <row r="856" spans="1:3" x14ac:dyDescent="0.25">
      <c r="A856" s="1" t="s">
        <v>12</v>
      </c>
      <c r="B856" s="1">
        <v>70</v>
      </c>
      <c r="C856" s="1">
        <v>2</v>
      </c>
    </row>
    <row r="857" spans="1:3" x14ac:dyDescent="0.25">
      <c r="A857" s="1" t="s">
        <v>22</v>
      </c>
      <c r="B857" s="1">
        <v>109.6</v>
      </c>
      <c r="C857" s="1">
        <v>2</v>
      </c>
    </row>
    <row r="858" spans="1:3" x14ac:dyDescent="0.25">
      <c r="A858" s="1" t="s">
        <v>41</v>
      </c>
      <c r="B858" s="1">
        <v>28.75</v>
      </c>
      <c r="C858" s="1">
        <v>1</v>
      </c>
    </row>
    <row r="859" spans="1:3" x14ac:dyDescent="0.25">
      <c r="A859" s="1" t="s">
        <v>20</v>
      </c>
      <c r="B859" s="1">
        <v>38.4</v>
      </c>
      <c r="C859" s="1">
        <v>1</v>
      </c>
    </row>
    <row r="860" spans="1:3" x14ac:dyDescent="0.25">
      <c r="A860" s="1" t="s">
        <v>99</v>
      </c>
      <c r="B860" s="1"/>
      <c r="C860" s="1"/>
    </row>
    <row r="861" spans="1:3" x14ac:dyDescent="0.25">
      <c r="A861" s="1" t="s">
        <v>1</v>
      </c>
      <c r="B861" s="1">
        <v>111</v>
      </c>
      <c r="C861" s="1"/>
    </row>
    <row r="862" spans="1:3" x14ac:dyDescent="0.25">
      <c r="A862" s="1" t="s">
        <v>2</v>
      </c>
      <c r="B862" s="1">
        <v>4570.95</v>
      </c>
      <c r="C862" s="1"/>
    </row>
    <row r="863" spans="1:3" x14ac:dyDescent="0.25">
      <c r="A863" s="1" t="s">
        <v>3</v>
      </c>
      <c r="B863" s="1" t="s">
        <v>4</v>
      </c>
      <c r="C863" s="1" t="s">
        <v>5</v>
      </c>
    </row>
    <row r="864" spans="1:3" x14ac:dyDescent="0.25">
      <c r="A864" s="1" t="s">
        <v>16</v>
      </c>
      <c r="B864" s="1">
        <v>176</v>
      </c>
      <c r="C864" s="1">
        <v>7</v>
      </c>
    </row>
    <row r="865" spans="1:3" x14ac:dyDescent="0.25">
      <c r="A865" s="1" t="s">
        <v>20</v>
      </c>
      <c r="B865" s="1">
        <v>691.2</v>
      </c>
      <c r="C865" s="1">
        <v>19</v>
      </c>
    </row>
    <row r="866" spans="1:3" x14ac:dyDescent="0.25">
      <c r="A866" s="1" t="s">
        <v>8</v>
      </c>
      <c r="B866" s="1">
        <v>986.4</v>
      </c>
      <c r="C866" s="1">
        <v>18</v>
      </c>
    </row>
    <row r="867" spans="1:3" x14ac:dyDescent="0.25">
      <c r="A867" s="1" t="s">
        <v>18</v>
      </c>
      <c r="B867" s="1">
        <v>268.8</v>
      </c>
      <c r="C867" s="1">
        <v>7</v>
      </c>
    </row>
    <row r="868" spans="1:3" x14ac:dyDescent="0.25">
      <c r="A868" s="1" t="s">
        <v>17</v>
      </c>
      <c r="B868" s="1">
        <v>460.8</v>
      </c>
      <c r="C868" s="1">
        <v>12</v>
      </c>
    </row>
    <row r="869" spans="1:3" x14ac:dyDescent="0.25">
      <c r="A869" s="1" t="s">
        <v>49</v>
      </c>
      <c r="B869" s="1">
        <v>240</v>
      </c>
      <c r="C869" s="1">
        <v>6</v>
      </c>
    </row>
    <row r="870" spans="1:3" x14ac:dyDescent="0.25">
      <c r="A870" s="1" t="s">
        <v>7</v>
      </c>
      <c r="B870" s="1">
        <v>109.6</v>
      </c>
      <c r="C870" s="1">
        <v>2</v>
      </c>
    </row>
    <row r="871" spans="1:3" x14ac:dyDescent="0.25">
      <c r="A871" s="1" t="s">
        <v>14</v>
      </c>
      <c r="B871" s="1">
        <v>28.75</v>
      </c>
      <c r="C871" s="1">
        <v>1</v>
      </c>
    </row>
    <row r="872" spans="1:3" x14ac:dyDescent="0.25">
      <c r="A872" s="1" t="s">
        <v>21</v>
      </c>
      <c r="B872" s="1">
        <v>54.8</v>
      </c>
      <c r="C872" s="1">
        <v>1</v>
      </c>
    </row>
    <row r="873" spans="1:3" x14ac:dyDescent="0.25">
      <c r="A873" s="1" t="s">
        <v>12</v>
      </c>
      <c r="B873" s="1">
        <v>280</v>
      </c>
      <c r="C873" s="1">
        <v>8</v>
      </c>
    </row>
    <row r="874" spans="1:3" x14ac:dyDescent="0.25">
      <c r="A874" s="1" t="s">
        <v>9</v>
      </c>
      <c r="B874" s="1">
        <v>54.8</v>
      </c>
      <c r="C874" s="1">
        <v>1</v>
      </c>
    </row>
    <row r="875" spans="1:3" x14ac:dyDescent="0.25">
      <c r="A875" s="1" t="s">
        <v>15</v>
      </c>
      <c r="B875" s="1">
        <v>340</v>
      </c>
      <c r="C875" s="1">
        <v>6</v>
      </c>
    </row>
    <row r="876" spans="1:3" x14ac:dyDescent="0.25">
      <c r="A876" s="1" t="s">
        <v>40</v>
      </c>
      <c r="B876" s="1">
        <v>109.6</v>
      </c>
      <c r="C876" s="1">
        <v>2</v>
      </c>
    </row>
    <row r="877" spans="1:3" x14ac:dyDescent="0.25">
      <c r="A877" s="1" t="s">
        <v>35</v>
      </c>
      <c r="B877" s="1">
        <v>38.4</v>
      </c>
      <c r="C877" s="1">
        <v>1</v>
      </c>
    </row>
    <row r="878" spans="1:3" x14ac:dyDescent="0.25">
      <c r="A878" s="1" t="s">
        <v>11</v>
      </c>
      <c r="B878" s="1">
        <v>80</v>
      </c>
      <c r="C878" s="1">
        <v>2</v>
      </c>
    </row>
    <row r="879" spans="1:3" x14ac:dyDescent="0.25">
      <c r="A879" s="1" t="s">
        <v>32</v>
      </c>
      <c r="B879" s="1">
        <v>38.4</v>
      </c>
      <c r="C879" s="1">
        <v>1</v>
      </c>
    </row>
    <row r="880" spans="1:3" x14ac:dyDescent="0.25">
      <c r="A880" s="1" t="s">
        <v>51</v>
      </c>
      <c r="B880" s="1">
        <v>38.4</v>
      </c>
      <c r="C880" s="1">
        <v>1</v>
      </c>
    </row>
    <row r="881" spans="1:3" x14ac:dyDescent="0.25">
      <c r="A881" s="1" t="s">
        <v>22</v>
      </c>
      <c r="B881" s="1">
        <v>54.8</v>
      </c>
      <c r="C881" s="1">
        <v>1</v>
      </c>
    </row>
    <row r="882" spans="1:3" x14ac:dyDescent="0.25">
      <c r="A882" s="1" t="s">
        <v>33</v>
      </c>
      <c r="B882" s="1">
        <v>80</v>
      </c>
      <c r="C882" s="1">
        <v>2</v>
      </c>
    </row>
    <row r="883" spans="1:3" x14ac:dyDescent="0.25">
      <c r="A883" s="1" t="s">
        <v>27</v>
      </c>
      <c r="B883" s="1">
        <v>76.8</v>
      </c>
      <c r="C883" s="1">
        <v>2</v>
      </c>
    </row>
    <row r="884" spans="1:3" x14ac:dyDescent="0.25">
      <c r="A884" s="1" t="s">
        <v>54</v>
      </c>
      <c r="B884" s="1">
        <v>115.2</v>
      </c>
      <c r="C884" s="1">
        <v>3</v>
      </c>
    </row>
    <row r="885" spans="1:3" x14ac:dyDescent="0.25">
      <c r="A885" s="1" t="s">
        <v>6</v>
      </c>
      <c r="B885" s="1">
        <v>54.8</v>
      </c>
      <c r="C885" s="1">
        <v>1</v>
      </c>
    </row>
    <row r="886" spans="1:3" x14ac:dyDescent="0.25">
      <c r="A886" s="1" t="s">
        <v>41</v>
      </c>
      <c r="B886" s="1">
        <v>86.25</v>
      </c>
      <c r="C886" s="1">
        <v>4</v>
      </c>
    </row>
    <row r="887" spans="1:3" x14ac:dyDescent="0.25">
      <c r="A887" s="1" t="s">
        <v>45</v>
      </c>
      <c r="B887" s="1">
        <v>28.75</v>
      </c>
      <c r="C887" s="1">
        <v>1</v>
      </c>
    </row>
    <row r="888" spans="1:3" x14ac:dyDescent="0.25">
      <c r="A888" s="1" t="s">
        <v>62</v>
      </c>
      <c r="B888" s="1">
        <v>38.4</v>
      </c>
      <c r="C888" s="1">
        <v>1</v>
      </c>
    </row>
    <row r="889" spans="1:3" x14ac:dyDescent="0.25">
      <c r="A889" s="1" t="s">
        <v>57</v>
      </c>
      <c r="B889" s="1">
        <v>40</v>
      </c>
      <c r="C889" s="1">
        <v>1</v>
      </c>
    </row>
    <row r="890" spans="1:3" x14ac:dyDescent="0.25">
      <c r="A890" s="1" t="s">
        <v>100</v>
      </c>
      <c r="B890" s="1"/>
      <c r="C890" s="1"/>
    </row>
    <row r="891" spans="1:3" x14ac:dyDescent="0.25">
      <c r="A891" s="1" t="s">
        <v>1</v>
      </c>
      <c r="B891" s="1">
        <v>26</v>
      </c>
      <c r="C891" s="1"/>
    </row>
    <row r="892" spans="1:3" x14ac:dyDescent="0.25">
      <c r="A892" s="1" t="s">
        <v>2</v>
      </c>
      <c r="B892" s="1">
        <v>1149.8499999999999</v>
      </c>
      <c r="C892" s="1"/>
    </row>
    <row r="893" spans="1:3" x14ac:dyDescent="0.25">
      <c r="A893" s="1" t="s">
        <v>3</v>
      </c>
      <c r="B893" s="1" t="s">
        <v>4</v>
      </c>
      <c r="C893" s="1" t="s">
        <v>5</v>
      </c>
    </row>
    <row r="894" spans="1:3" x14ac:dyDescent="0.25">
      <c r="A894" s="1" t="s">
        <v>17</v>
      </c>
      <c r="B894" s="1">
        <v>153.6</v>
      </c>
      <c r="C894" s="1">
        <v>4</v>
      </c>
    </row>
    <row r="895" spans="1:3" x14ac:dyDescent="0.25">
      <c r="A895" s="1" t="s">
        <v>7</v>
      </c>
      <c r="B895" s="1">
        <v>164.4</v>
      </c>
      <c r="C895" s="1">
        <v>3</v>
      </c>
    </row>
    <row r="896" spans="1:3" x14ac:dyDescent="0.25">
      <c r="A896" s="1" t="s">
        <v>18</v>
      </c>
      <c r="B896" s="1">
        <v>76.8</v>
      </c>
      <c r="C896" s="1">
        <v>2</v>
      </c>
    </row>
    <row r="897" spans="1:3" x14ac:dyDescent="0.25">
      <c r="A897" s="1" t="s">
        <v>20</v>
      </c>
      <c r="B897" s="1">
        <v>76.8</v>
      </c>
      <c r="C897" s="1">
        <v>2</v>
      </c>
    </row>
    <row r="898" spans="1:3" x14ac:dyDescent="0.25">
      <c r="A898" s="1" t="s">
        <v>8</v>
      </c>
      <c r="B898" s="1">
        <v>328.8</v>
      </c>
      <c r="C898" s="1">
        <v>6</v>
      </c>
    </row>
    <row r="899" spans="1:3" x14ac:dyDescent="0.25">
      <c r="A899" s="1" t="s">
        <v>21</v>
      </c>
      <c r="B899" s="1">
        <v>109.6</v>
      </c>
      <c r="C899" s="1">
        <v>2</v>
      </c>
    </row>
    <row r="900" spans="1:3" x14ac:dyDescent="0.25">
      <c r="A900" s="1" t="s">
        <v>54</v>
      </c>
      <c r="B900" s="1">
        <v>76.8</v>
      </c>
      <c r="C900" s="1">
        <v>2</v>
      </c>
    </row>
    <row r="901" spans="1:3" x14ac:dyDescent="0.25">
      <c r="A901" s="1" t="s">
        <v>51</v>
      </c>
      <c r="B901" s="1">
        <v>76.8</v>
      </c>
      <c r="C901" s="1">
        <v>2</v>
      </c>
    </row>
    <row r="902" spans="1:3" x14ac:dyDescent="0.25">
      <c r="A902" s="1" t="s">
        <v>41</v>
      </c>
      <c r="B902" s="1">
        <v>57.5</v>
      </c>
      <c r="C902" s="1">
        <v>2</v>
      </c>
    </row>
    <row r="903" spans="1:3" x14ac:dyDescent="0.25">
      <c r="A903" s="1" t="s">
        <v>43</v>
      </c>
      <c r="B903" s="1">
        <v>28.75</v>
      </c>
      <c r="C903" s="1">
        <v>1</v>
      </c>
    </row>
    <row r="904" spans="1:3" x14ac:dyDescent="0.25">
      <c r="A904" s="1" t="s">
        <v>101</v>
      </c>
      <c r="B904" s="1"/>
      <c r="C904" s="1"/>
    </row>
    <row r="905" spans="1:3" x14ac:dyDescent="0.25">
      <c r="A905" s="1" t="s">
        <v>1</v>
      </c>
      <c r="B905" s="1">
        <v>95</v>
      </c>
      <c r="C905" s="1"/>
    </row>
    <row r="906" spans="1:3" x14ac:dyDescent="0.25">
      <c r="A906" s="1" t="s">
        <v>2</v>
      </c>
      <c r="B906" s="1">
        <v>4084.1</v>
      </c>
      <c r="C906" s="1"/>
    </row>
    <row r="907" spans="1:3" x14ac:dyDescent="0.25">
      <c r="A907" s="1" t="s">
        <v>3</v>
      </c>
      <c r="B907" s="1" t="s">
        <v>4</v>
      </c>
      <c r="C907" s="1" t="s">
        <v>5</v>
      </c>
    </row>
    <row r="908" spans="1:3" x14ac:dyDescent="0.25">
      <c r="A908" s="1" t="s">
        <v>49</v>
      </c>
      <c r="B908" s="1">
        <v>80</v>
      </c>
      <c r="C908" s="1">
        <v>2</v>
      </c>
    </row>
    <row r="909" spans="1:3" x14ac:dyDescent="0.25">
      <c r="A909" s="1" t="s">
        <v>15</v>
      </c>
      <c r="B909" s="1">
        <v>136</v>
      </c>
      <c r="C909" s="1">
        <v>2</v>
      </c>
    </row>
    <row r="910" spans="1:3" x14ac:dyDescent="0.25">
      <c r="A910" s="1" t="s">
        <v>8</v>
      </c>
      <c r="B910" s="1">
        <v>876.8</v>
      </c>
      <c r="C910" s="1">
        <v>16</v>
      </c>
    </row>
    <row r="911" spans="1:3" x14ac:dyDescent="0.25">
      <c r="A911" s="1" t="s">
        <v>20</v>
      </c>
      <c r="B911" s="1">
        <v>230.4</v>
      </c>
      <c r="C911" s="1">
        <v>7</v>
      </c>
    </row>
    <row r="912" spans="1:3" x14ac:dyDescent="0.25">
      <c r="A912" s="1" t="s">
        <v>14</v>
      </c>
      <c r="B912" s="1">
        <v>57.5</v>
      </c>
      <c r="C912" s="1">
        <v>2</v>
      </c>
    </row>
    <row r="913" spans="1:3" x14ac:dyDescent="0.25">
      <c r="A913" s="1" t="s">
        <v>17</v>
      </c>
      <c r="B913" s="1">
        <v>345.6</v>
      </c>
      <c r="C913" s="1">
        <v>9</v>
      </c>
    </row>
    <row r="914" spans="1:3" x14ac:dyDescent="0.25">
      <c r="A914" s="1" t="s">
        <v>52</v>
      </c>
      <c r="B914" s="1">
        <v>64</v>
      </c>
      <c r="C914" s="1">
        <v>1</v>
      </c>
    </row>
    <row r="915" spans="1:3" x14ac:dyDescent="0.25">
      <c r="A915" s="1" t="s">
        <v>22</v>
      </c>
      <c r="B915" s="1">
        <v>164.4</v>
      </c>
      <c r="C915" s="1">
        <v>3</v>
      </c>
    </row>
    <row r="916" spans="1:3" x14ac:dyDescent="0.25">
      <c r="A916" s="1" t="s">
        <v>12</v>
      </c>
      <c r="B916" s="1">
        <v>245</v>
      </c>
      <c r="C916" s="1">
        <v>7</v>
      </c>
    </row>
    <row r="917" spans="1:3" x14ac:dyDescent="0.25">
      <c r="A917" s="1" t="s">
        <v>10</v>
      </c>
      <c r="B917" s="1">
        <v>76.8</v>
      </c>
      <c r="C917" s="1">
        <v>2</v>
      </c>
    </row>
    <row r="918" spans="1:3" x14ac:dyDescent="0.25">
      <c r="A918" s="1" t="s">
        <v>21</v>
      </c>
      <c r="B918" s="1">
        <v>274</v>
      </c>
      <c r="C918" s="1">
        <v>5</v>
      </c>
    </row>
    <row r="919" spans="1:3" x14ac:dyDescent="0.25">
      <c r="A919" s="1" t="s">
        <v>6</v>
      </c>
      <c r="B919" s="1">
        <v>109.6</v>
      </c>
      <c r="C919" s="1">
        <v>2</v>
      </c>
    </row>
    <row r="920" spans="1:3" x14ac:dyDescent="0.25">
      <c r="A920" s="1" t="s">
        <v>40</v>
      </c>
      <c r="B920" s="1">
        <v>54.8</v>
      </c>
      <c r="C920" s="1">
        <v>2</v>
      </c>
    </row>
    <row r="921" spans="1:3" x14ac:dyDescent="0.25">
      <c r="A921" s="1" t="s">
        <v>18</v>
      </c>
      <c r="B921" s="1">
        <v>422.4</v>
      </c>
      <c r="C921" s="1">
        <v>11</v>
      </c>
    </row>
    <row r="922" spans="1:3" x14ac:dyDescent="0.25">
      <c r="A922" s="1" t="s">
        <v>26</v>
      </c>
      <c r="B922" s="1">
        <v>75</v>
      </c>
      <c r="C922" s="1">
        <v>2</v>
      </c>
    </row>
    <row r="923" spans="1:3" x14ac:dyDescent="0.25">
      <c r="A923" s="1" t="s">
        <v>13</v>
      </c>
      <c r="B923" s="1">
        <v>38.4</v>
      </c>
      <c r="C923" s="1">
        <v>1</v>
      </c>
    </row>
    <row r="924" spans="1:3" x14ac:dyDescent="0.25">
      <c r="A924" s="1" t="s">
        <v>37</v>
      </c>
      <c r="B924" s="1">
        <v>164.4</v>
      </c>
      <c r="C924" s="1">
        <v>3</v>
      </c>
    </row>
    <row r="925" spans="1:3" x14ac:dyDescent="0.25">
      <c r="A925" s="1" t="s">
        <v>33</v>
      </c>
      <c r="B925" s="1">
        <v>160</v>
      </c>
      <c r="C925" s="1">
        <v>4</v>
      </c>
    </row>
    <row r="926" spans="1:3" x14ac:dyDescent="0.25">
      <c r="A926" s="1" t="s">
        <v>53</v>
      </c>
      <c r="B926" s="1">
        <v>28.75</v>
      </c>
      <c r="C926" s="1">
        <v>2</v>
      </c>
    </row>
    <row r="927" spans="1:3" x14ac:dyDescent="0.25">
      <c r="A927" s="1" t="s">
        <v>36</v>
      </c>
      <c r="B927" s="1">
        <v>38.4</v>
      </c>
      <c r="C927" s="1">
        <v>1</v>
      </c>
    </row>
    <row r="928" spans="1:3" x14ac:dyDescent="0.25">
      <c r="A928" s="1" t="s">
        <v>19</v>
      </c>
      <c r="B928" s="1">
        <v>28.75</v>
      </c>
      <c r="C928" s="1">
        <v>1</v>
      </c>
    </row>
    <row r="929" spans="1:3" x14ac:dyDescent="0.25">
      <c r="A929" s="1" t="s">
        <v>41</v>
      </c>
      <c r="B929" s="1">
        <v>28.75</v>
      </c>
      <c r="C929" s="1">
        <v>1</v>
      </c>
    </row>
    <row r="930" spans="1:3" x14ac:dyDescent="0.25">
      <c r="A930" s="1" t="s">
        <v>34</v>
      </c>
      <c r="B930" s="1">
        <v>64</v>
      </c>
      <c r="C930" s="1">
        <v>1</v>
      </c>
    </row>
    <row r="931" spans="1:3" x14ac:dyDescent="0.25">
      <c r="A931" s="1" t="s">
        <v>55</v>
      </c>
      <c r="B931" s="1">
        <v>76.8</v>
      </c>
      <c r="C931" s="1">
        <v>2</v>
      </c>
    </row>
    <row r="932" spans="1:3" x14ac:dyDescent="0.25">
      <c r="A932" s="1" t="s">
        <v>27</v>
      </c>
      <c r="B932" s="1">
        <v>76.8</v>
      </c>
      <c r="C932" s="1">
        <v>2</v>
      </c>
    </row>
    <row r="933" spans="1:3" x14ac:dyDescent="0.25">
      <c r="A933" s="1" t="s">
        <v>54</v>
      </c>
      <c r="B933" s="1">
        <v>76.8</v>
      </c>
      <c r="C933" s="1">
        <v>2</v>
      </c>
    </row>
    <row r="934" spans="1:3" x14ac:dyDescent="0.25">
      <c r="A934" s="1" t="s">
        <v>67</v>
      </c>
      <c r="B934" s="1">
        <v>49.95</v>
      </c>
      <c r="C934" s="1">
        <v>1</v>
      </c>
    </row>
    <row r="935" spans="1:3" x14ac:dyDescent="0.25">
      <c r="A935" s="1" t="s">
        <v>57</v>
      </c>
      <c r="B935" s="1">
        <v>40</v>
      </c>
      <c r="C935" s="1">
        <v>1</v>
      </c>
    </row>
    <row r="936" spans="1:3" x14ac:dyDescent="0.25">
      <c r="A936" s="1" t="s">
        <v>102</v>
      </c>
      <c r="B936" s="1"/>
      <c r="C936" s="1"/>
    </row>
    <row r="937" spans="1:3" x14ac:dyDescent="0.25">
      <c r="A937" s="1" t="s">
        <v>1</v>
      </c>
      <c r="B937" s="1">
        <v>77</v>
      </c>
      <c r="C937" s="1"/>
    </row>
    <row r="938" spans="1:3" x14ac:dyDescent="0.25">
      <c r="A938" s="1" t="s">
        <v>2</v>
      </c>
      <c r="B938" s="1">
        <v>3195.66</v>
      </c>
      <c r="C938" s="1"/>
    </row>
    <row r="939" spans="1:3" x14ac:dyDescent="0.25">
      <c r="A939" s="1" t="s">
        <v>3</v>
      </c>
      <c r="B939" s="1" t="s">
        <v>4</v>
      </c>
      <c r="C939" s="1" t="s">
        <v>5</v>
      </c>
    </row>
    <row r="940" spans="1:3" x14ac:dyDescent="0.25">
      <c r="A940" s="1" t="s">
        <v>16</v>
      </c>
      <c r="B940" s="1">
        <v>105.6</v>
      </c>
      <c r="C940" s="1">
        <v>3</v>
      </c>
    </row>
    <row r="941" spans="1:3" x14ac:dyDescent="0.25">
      <c r="A941" s="1" t="s">
        <v>20</v>
      </c>
      <c r="B941" s="1">
        <v>460.8</v>
      </c>
      <c r="C941" s="1">
        <v>12</v>
      </c>
    </row>
    <row r="942" spans="1:3" x14ac:dyDescent="0.25">
      <c r="A942" s="1" t="s">
        <v>13</v>
      </c>
      <c r="B942" s="1">
        <v>38.4</v>
      </c>
      <c r="C942" s="1">
        <v>1</v>
      </c>
    </row>
    <row r="943" spans="1:3" x14ac:dyDescent="0.25">
      <c r="A943" s="1" t="s">
        <v>21</v>
      </c>
      <c r="B943" s="1">
        <v>219.2</v>
      </c>
      <c r="C943" s="1">
        <v>4</v>
      </c>
    </row>
    <row r="944" spans="1:3" x14ac:dyDescent="0.25">
      <c r="A944" s="1" t="s">
        <v>17</v>
      </c>
      <c r="B944" s="1">
        <v>230.4</v>
      </c>
      <c r="C944" s="1">
        <v>7</v>
      </c>
    </row>
    <row r="945" spans="1:3" x14ac:dyDescent="0.25">
      <c r="A945" s="1" t="s">
        <v>12</v>
      </c>
      <c r="B945" s="1">
        <v>105</v>
      </c>
      <c r="C945" s="1">
        <v>3</v>
      </c>
    </row>
    <row r="946" spans="1:3" x14ac:dyDescent="0.25">
      <c r="A946" s="1" t="s">
        <v>51</v>
      </c>
      <c r="B946" s="1">
        <v>38.4</v>
      </c>
      <c r="C946" s="1">
        <v>1</v>
      </c>
    </row>
    <row r="947" spans="1:3" x14ac:dyDescent="0.25">
      <c r="A947" s="1" t="s">
        <v>31</v>
      </c>
      <c r="B947" s="1">
        <v>34.56</v>
      </c>
      <c r="C947" s="1">
        <v>1</v>
      </c>
    </row>
    <row r="948" spans="1:3" x14ac:dyDescent="0.25">
      <c r="A948" s="1" t="s">
        <v>26</v>
      </c>
      <c r="B948" s="1">
        <v>37.5</v>
      </c>
      <c r="C948" s="1">
        <v>1</v>
      </c>
    </row>
    <row r="949" spans="1:3" x14ac:dyDescent="0.25">
      <c r="A949" s="1" t="s">
        <v>10</v>
      </c>
      <c r="B949" s="1">
        <v>76.8</v>
      </c>
      <c r="C949" s="1">
        <v>2</v>
      </c>
    </row>
    <row r="950" spans="1:3" x14ac:dyDescent="0.25">
      <c r="A950" s="1" t="s">
        <v>8</v>
      </c>
      <c r="B950" s="1">
        <v>602.79999999999995</v>
      </c>
      <c r="C950" s="1">
        <v>11</v>
      </c>
    </row>
    <row r="951" spans="1:3" x14ac:dyDescent="0.25">
      <c r="A951" s="1" t="s">
        <v>32</v>
      </c>
      <c r="B951" s="1">
        <v>115.2</v>
      </c>
      <c r="C951" s="1">
        <v>3</v>
      </c>
    </row>
    <row r="952" spans="1:3" x14ac:dyDescent="0.25">
      <c r="A952" s="1" t="s">
        <v>49</v>
      </c>
      <c r="B952" s="1">
        <v>120</v>
      </c>
      <c r="C952" s="1">
        <v>3</v>
      </c>
    </row>
    <row r="953" spans="1:3" x14ac:dyDescent="0.25">
      <c r="A953" s="1" t="s">
        <v>18</v>
      </c>
      <c r="B953" s="1">
        <v>153.6</v>
      </c>
      <c r="C953" s="1">
        <v>4</v>
      </c>
    </row>
    <row r="954" spans="1:3" x14ac:dyDescent="0.25">
      <c r="A954" s="1" t="s">
        <v>7</v>
      </c>
      <c r="B954" s="1">
        <v>109.6</v>
      </c>
      <c r="C954" s="1">
        <v>2</v>
      </c>
    </row>
    <row r="955" spans="1:3" x14ac:dyDescent="0.25">
      <c r="A955" s="1" t="s">
        <v>53</v>
      </c>
      <c r="B955" s="1">
        <v>28.75</v>
      </c>
      <c r="C955" s="1">
        <v>1</v>
      </c>
    </row>
    <row r="956" spans="1:3" x14ac:dyDescent="0.25">
      <c r="A956" s="1" t="s">
        <v>57</v>
      </c>
      <c r="B956" s="1">
        <v>40</v>
      </c>
      <c r="C956" s="1">
        <v>1</v>
      </c>
    </row>
    <row r="957" spans="1:3" x14ac:dyDescent="0.25">
      <c r="A957" s="1" t="s">
        <v>33</v>
      </c>
      <c r="B957" s="1">
        <v>120</v>
      </c>
      <c r="C957" s="1">
        <v>3</v>
      </c>
    </row>
    <row r="958" spans="1:3" x14ac:dyDescent="0.25">
      <c r="A958" s="1" t="s">
        <v>19</v>
      </c>
      <c r="B958" s="1">
        <v>57.5</v>
      </c>
      <c r="C958" s="1">
        <v>2</v>
      </c>
    </row>
    <row r="959" spans="1:3" x14ac:dyDescent="0.25">
      <c r="A959" s="1" t="s">
        <v>22</v>
      </c>
      <c r="B959" s="1">
        <v>54.8</v>
      </c>
      <c r="C959" s="1">
        <v>1</v>
      </c>
    </row>
    <row r="960" spans="1:3" x14ac:dyDescent="0.25">
      <c r="A960" s="1" t="s">
        <v>40</v>
      </c>
      <c r="B960" s="1">
        <v>164.4</v>
      </c>
      <c r="C960" s="1">
        <v>3</v>
      </c>
    </row>
    <row r="961" spans="1:3" x14ac:dyDescent="0.25">
      <c r="A961" s="1" t="s">
        <v>41</v>
      </c>
      <c r="B961" s="1">
        <v>57.5</v>
      </c>
      <c r="C961" s="1">
        <v>2</v>
      </c>
    </row>
    <row r="962" spans="1:3" x14ac:dyDescent="0.25">
      <c r="A962" s="1" t="s">
        <v>50</v>
      </c>
      <c r="B962" s="1">
        <v>42.5</v>
      </c>
      <c r="C962" s="1">
        <v>1</v>
      </c>
    </row>
    <row r="963" spans="1:3" x14ac:dyDescent="0.25">
      <c r="A963" s="1" t="s">
        <v>54</v>
      </c>
      <c r="B963" s="1">
        <v>76.8</v>
      </c>
      <c r="C963" s="1">
        <v>2</v>
      </c>
    </row>
    <row r="964" spans="1:3" x14ac:dyDescent="0.25">
      <c r="A964" s="1" t="s">
        <v>44</v>
      </c>
      <c r="B964" s="1">
        <v>38.4</v>
      </c>
      <c r="C964" s="1">
        <v>1</v>
      </c>
    </row>
    <row r="965" spans="1:3" x14ac:dyDescent="0.25">
      <c r="A965" s="1" t="s">
        <v>45</v>
      </c>
      <c r="B965" s="1">
        <v>28.75</v>
      </c>
      <c r="C965" s="1">
        <v>1</v>
      </c>
    </row>
    <row r="966" spans="1:3" x14ac:dyDescent="0.25">
      <c r="A966" s="1" t="s">
        <v>62</v>
      </c>
      <c r="B966" s="1">
        <v>38.4</v>
      </c>
      <c r="C966" s="1">
        <v>1</v>
      </c>
    </row>
    <row r="967" spans="1:3" x14ac:dyDescent="0.25">
      <c r="A967" s="1" t="s">
        <v>103</v>
      </c>
      <c r="B967" s="1"/>
      <c r="C967" s="1"/>
    </row>
    <row r="968" spans="1:3" x14ac:dyDescent="0.25">
      <c r="A968" s="1" t="s">
        <v>1</v>
      </c>
      <c r="B968" s="1">
        <v>67</v>
      </c>
      <c r="C968" s="1"/>
    </row>
    <row r="969" spans="1:3" x14ac:dyDescent="0.25">
      <c r="A969" s="1" t="s">
        <v>2</v>
      </c>
      <c r="B969" s="1">
        <v>3390.35</v>
      </c>
      <c r="C969" s="1"/>
    </row>
    <row r="970" spans="1:3" x14ac:dyDescent="0.25">
      <c r="A970" s="1" t="s">
        <v>3</v>
      </c>
      <c r="B970" s="1" t="s">
        <v>4</v>
      </c>
      <c r="C970" s="1" t="s">
        <v>5</v>
      </c>
    </row>
    <row r="971" spans="1:3" x14ac:dyDescent="0.25">
      <c r="A971" s="1" t="s">
        <v>20</v>
      </c>
      <c r="B971" s="1">
        <v>345.6</v>
      </c>
      <c r="C971" s="1">
        <v>9</v>
      </c>
    </row>
    <row r="972" spans="1:3" x14ac:dyDescent="0.25">
      <c r="A972" s="1" t="s">
        <v>13</v>
      </c>
      <c r="B972" s="1">
        <v>76.8</v>
      </c>
      <c r="C972" s="1">
        <v>2</v>
      </c>
    </row>
    <row r="973" spans="1:3" x14ac:dyDescent="0.25">
      <c r="A973" s="1" t="s">
        <v>18</v>
      </c>
      <c r="B973" s="1">
        <v>115.2</v>
      </c>
      <c r="C973" s="1">
        <v>3</v>
      </c>
    </row>
    <row r="974" spans="1:3" x14ac:dyDescent="0.25">
      <c r="A974" s="1" t="s">
        <v>8</v>
      </c>
      <c r="B974" s="1">
        <v>493.2</v>
      </c>
      <c r="C974" s="1">
        <v>9</v>
      </c>
    </row>
    <row r="975" spans="1:3" x14ac:dyDescent="0.25">
      <c r="A975" s="1" t="s">
        <v>14</v>
      </c>
      <c r="B975" s="1">
        <v>28.75</v>
      </c>
      <c r="C975" s="1">
        <v>1</v>
      </c>
    </row>
    <row r="976" spans="1:3" x14ac:dyDescent="0.25">
      <c r="A976" s="1" t="s">
        <v>49</v>
      </c>
      <c r="B976" s="1">
        <v>160</v>
      </c>
      <c r="C976" s="1">
        <v>4</v>
      </c>
    </row>
    <row r="977" spans="1:3" x14ac:dyDescent="0.25">
      <c r="A977" s="1" t="s">
        <v>15</v>
      </c>
      <c r="B977" s="1">
        <v>1428</v>
      </c>
      <c r="C977" s="1">
        <v>21</v>
      </c>
    </row>
    <row r="978" spans="1:3" x14ac:dyDescent="0.25">
      <c r="A978" s="1" t="s">
        <v>21</v>
      </c>
      <c r="B978" s="1">
        <v>109.6</v>
      </c>
      <c r="C978" s="1">
        <v>2</v>
      </c>
    </row>
    <row r="979" spans="1:3" x14ac:dyDescent="0.25">
      <c r="A979" s="1" t="s">
        <v>40</v>
      </c>
      <c r="B979" s="1">
        <v>54.8</v>
      </c>
      <c r="C979" s="1">
        <v>1</v>
      </c>
    </row>
    <row r="980" spans="1:3" x14ac:dyDescent="0.25">
      <c r="A980" s="1" t="s">
        <v>42</v>
      </c>
      <c r="B980" s="1">
        <v>80</v>
      </c>
      <c r="C980" s="1">
        <v>2</v>
      </c>
    </row>
    <row r="981" spans="1:3" x14ac:dyDescent="0.25">
      <c r="A981" s="1" t="s">
        <v>7</v>
      </c>
      <c r="B981" s="1">
        <v>109.6</v>
      </c>
      <c r="C981" s="1">
        <v>3</v>
      </c>
    </row>
    <row r="982" spans="1:3" x14ac:dyDescent="0.25">
      <c r="A982" s="1" t="s">
        <v>54</v>
      </c>
      <c r="B982" s="1">
        <v>38.4</v>
      </c>
      <c r="C982" s="1">
        <v>1</v>
      </c>
    </row>
    <row r="983" spans="1:3" x14ac:dyDescent="0.25">
      <c r="A983" s="1" t="s">
        <v>17</v>
      </c>
      <c r="B983" s="1">
        <v>115.2</v>
      </c>
      <c r="C983" s="1">
        <v>3</v>
      </c>
    </row>
    <row r="984" spans="1:3" x14ac:dyDescent="0.25">
      <c r="A984" s="1" t="s">
        <v>16</v>
      </c>
      <c r="B984" s="1">
        <v>70.400000000000006</v>
      </c>
      <c r="C984" s="1">
        <v>2</v>
      </c>
    </row>
    <row r="985" spans="1:3" x14ac:dyDescent="0.25">
      <c r="A985" s="1" t="s">
        <v>12</v>
      </c>
      <c r="B985" s="1">
        <v>70</v>
      </c>
      <c r="C985" s="1">
        <v>2</v>
      </c>
    </row>
    <row r="986" spans="1:3" x14ac:dyDescent="0.25">
      <c r="A986" s="1" t="s">
        <v>22</v>
      </c>
      <c r="B986" s="1">
        <v>54.8</v>
      </c>
      <c r="C986" s="1">
        <v>1</v>
      </c>
    </row>
    <row r="987" spans="1:3" x14ac:dyDescent="0.25">
      <c r="A987" s="1" t="s">
        <v>33</v>
      </c>
      <c r="B987" s="1">
        <v>40</v>
      </c>
      <c r="C987" s="1">
        <v>1</v>
      </c>
    </row>
    <row r="988" spans="1:3" x14ac:dyDescent="0.25">
      <c r="A988" s="1" t="s">
        <v>104</v>
      </c>
      <c r="B988" s="1"/>
      <c r="C988" s="1"/>
    </row>
    <row r="989" spans="1:3" x14ac:dyDescent="0.25">
      <c r="A989" s="1" t="s">
        <v>1</v>
      </c>
      <c r="B989" s="1">
        <v>62</v>
      </c>
      <c r="C989" s="1"/>
    </row>
    <row r="990" spans="1:3" x14ac:dyDescent="0.25">
      <c r="A990" s="1" t="s">
        <v>2</v>
      </c>
      <c r="B990" s="1">
        <v>2039.25</v>
      </c>
      <c r="C990" s="1"/>
    </row>
    <row r="991" spans="1:3" x14ac:dyDescent="0.25">
      <c r="A991" s="1" t="s">
        <v>3</v>
      </c>
      <c r="B991" s="1" t="s">
        <v>4</v>
      </c>
      <c r="C991" s="1" t="s">
        <v>5</v>
      </c>
    </row>
    <row r="992" spans="1:3" x14ac:dyDescent="0.25">
      <c r="A992" s="1" t="s">
        <v>21</v>
      </c>
      <c r="B992" s="1">
        <v>164.4</v>
      </c>
      <c r="C992" s="1">
        <v>3</v>
      </c>
    </row>
    <row r="993" spans="1:3" x14ac:dyDescent="0.25">
      <c r="A993" s="1" t="s">
        <v>26</v>
      </c>
      <c r="B993" s="1">
        <v>37.5</v>
      </c>
      <c r="C993" s="1">
        <v>1</v>
      </c>
    </row>
    <row r="994" spans="1:3" x14ac:dyDescent="0.25">
      <c r="A994" s="1" t="s">
        <v>20</v>
      </c>
      <c r="B994" s="1">
        <v>345.6</v>
      </c>
      <c r="C994" s="1">
        <v>11</v>
      </c>
    </row>
    <row r="995" spans="1:3" x14ac:dyDescent="0.25">
      <c r="A995" s="1" t="s">
        <v>17</v>
      </c>
      <c r="B995" s="1">
        <v>153.6</v>
      </c>
      <c r="C995" s="1">
        <v>4</v>
      </c>
    </row>
    <row r="996" spans="1:3" x14ac:dyDescent="0.25">
      <c r="A996" s="1" t="s">
        <v>10</v>
      </c>
      <c r="B996" s="1">
        <v>115.2</v>
      </c>
      <c r="C996" s="1">
        <v>3</v>
      </c>
    </row>
    <row r="997" spans="1:3" x14ac:dyDescent="0.25">
      <c r="A997" s="1" t="s">
        <v>8</v>
      </c>
      <c r="B997" s="1">
        <v>274</v>
      </c>
      <c r="C997" s="1">
        <v>14</v>
      </c>
    </row>
    <row r="998" spans="1:3" x14ac:dyDescent="0.25">
      <c r="A998" s="1" t="s">
        <v>18</v>
      </c>
      <c r="B998" s="1">
        <v>230.4</v>
      </c>
      <c r="C998" s="1">
        <v>9</v>
      </c>
    </row>
    <row r="999" spans="1:3" x14ac:dyDescent="0.25">
      <c r="A999" s="1" t="s">
        <v>28</v>
      </c>
      <c r="B999" s="1">
        <v>38.4</v>
      </c>
      <c r="C999" s="1">
        <v>1</v>
      </c>
    </row>
    <row r="1000" spans="1:3" x14ac:dyDescent="0.25">
      <c r="A1000" s="1" t="s">
        <v>16</v>
      </c>
      <c r="B1000" s="1">
        <v>105.6</v>
      </c>
      <c r="C1000" s="1">
        <v>3</v>
      </c>
    </row>
    <row r="1001" spans="1:3" x14ac:dyDescent="0.25">
      <c r="A1001" s="1" t="s">
        <v>32</v>
      </c>
      <c r="B1001" s="1">
        <v>76.8</v>
      </c>
      <c r="C1001" s="1">
        <v>2</v>
      </c>
    </row>
    <row r="1002" spans="1:3" x14ac:dyDescent="0.25">
      <c r="A1002" s="1" t="s">
        <v>40</v>
      </c>
      <c r="B1002" s="1">
        <v>54.8</v>
      </c>
      <c r="C1002" s="1">
        <v>1</v>
      </c>
    </row>
    <row r="1003" spans="1:3" x14ac:dyDescent="0.25">
      <c r="A1003" s="1" t="s">
        <v>15</v>
      </c>
      <c r="B1003" s="1">
        <v>136</v>
      </c>
      <c r="C1003" s="1">
        <v>2</v>
      </c>
    </row>
    <row r="1004" spans="1:3" x14ac:dyDescent="0.25">
      <c r="A1004" s="1" t="s">
        <v>12</v>
      </c>
      <c r="B1004" s="1">
        <v>105</v>
      </c>
      <c r="C1004" s="1">
        <v>3</v>
      </c>
    </row>
    <row r="1005" spans="1:3" x14ac:dyDescent="0.25">
      <c r="A1005" s="1" t="s">
        <v>56</v>
      </c>
      <c r="B1005" s="1">
        <v>38.4</v>
      </c>
      <c r="C1005" s="1">
        <v>1</v>
      </c>
    </row>
    <row r="1006" spans="1:3" x14ac:dyDescent="0.25">
      <c r="A1006" s="1" t="s">
        <v>49</v>
      </c>
      <c r="B1006" s="1">
        <v>80</v>
      </c>
      <c r="C1006" s="1">
        <v>2</v>
      </c>
    </row>
    <row r="1007" spans="1:3" x14ac:dyDescent="0.25">
      <c r="A1007" s="1" t="s">
        <v>6</v>
      </c>
      <c r="B1007" s="1">
        <v>54.8</v>
      </c>
      <c r="C1007" s="1">
        <v>1</v>
      </c>
    </row>
    <row r="1008" spans="1:3" x14ac:dyDescent="0.25">
      <c r="A1008" s="1" t="s">
        <v>45</v>
      </c>
      <c r="B1008" s="1">
        <v>28.75</v>
      </c>
      <c r="C1008" s="1">
        <v>1</v>
      </c>
    </row>
    <row r="1009" spans="1:3" x14ac:dyDescent="0.25">
      <c r="A1009" s="1" t="s">
        <v>105</v>
      </c>
      <c r="B1009" s="1"/>
      <c r="C1009" s="1"/>
    </row>
    <row r="1010" spans="1:3" x14ac:dyDescent="0.25">
      <c r="A1010" s="1" t="s">
        <v>1</v>
      </c>
      <c r="B1010" s="1">
        <v>57</v>
      </c>
      <c r="C1010" s="1"/>
    </row>
    <row r="1011" spans="1:3" x14ac:dyDescent="0.25">
      <c r="A1011" s="1" t="s">
        <v>2</v>
      </c>
      <c r="B1011" s="1">
        <v>2366.65</v>
      </c>
      <c r="C1011" s="1"/>
    </row>
    <row r="1012" spans="1:3" x14ac:dyDescent="0.25">
      <c r="A1012" s="1" t="s">
        <v>3</v>
      </c>
      <c r="B1012" s="1" t="s">
        <v>4</v>
      </c>
      <c r="C1012" s="1" t="s">
        <v>5</v>
      </c>
    </row>
    <row r="1013" spans="1:3" x14ac:dyDescent="0.25">
      <c r="A1013" s="1" t="s">
        <v>17</v>
      </c>
      <c r="B1013" s="1">
        <v>345.6</v>
      </c>
      <c r="C1013" s="1">
        <v>9</v>
      </c>
    </row>
    <row r="1014" spans="1:3" x14ac:dyDescent="0.25">
      <c r="A1014" s="1" t="s">
        <v>20</v>
      </c>
      <c r="B1014" s="1">
        <v>345.6</v>
      </c>
      <c r="C1014" s="1">
        <v>10</v>
      </c>
    </row>
    <row r="1015" spans="1:3" x14ac:dyDescent="0.25">
      <c r="A1015" s="1" t="s">
        <v>49</v>
      </c>
      <c r="B1015" s="1">
        <v>120</v>
      </c>
      <c r="C1015" s="1">
        <v>3</v>
      </c>
    </row>
    <row r="1016" spans="1:3" x14ac:dyDescent="0.25">
      <c r="A1016" s="1" t="s">
        <v>12</v>
      </c>
      <c r="B1016" s="1">
        <v>105</v>
      </c>
      <c r="C1016" s="1">
        <v>3</v>
      </c>
    </row>
    <row r="1017" spans="1:3" x14ac:dyDescent="0.25">
      <c r="A1017" s="1" t="s">
        <v>7</v>
      </c>
      <c r="B1017" s="1">
        <v>54.8</v>
      </c>
      <c r="C1017" s="1">
        <v>1</v>
      </c>
    </row>
    <row r="1018" spans="1:3" x14ac:dyDescent="0.25">
      <c r="A1018" s="1" t="s">
        <v>21</v>
      </c>
      <c r="B1018" s="1">
        <v>219.2</v>
      </c>
      <c r="C1018" s="1">
        <v>4</v>
      </c>
    </row>
    <row r="1019" spans="1:3" x14ac:dyDescent="0.25">
      <c r="A1019" s="1" t="s">
        <v>8</v>
      </c>
      <c r="B1019" s="1">
        <v>438.4</v>
      </c>
      <c r="C1019" s="1">
        <v>9</v>
      </c>
    </row>
    <row r="1020" spans="1:3" x14ac:dyDescent="0.25">
      <c r="A1020" s="1" t="s">
        <v>18</v>
      </c>
      <c r="B1020" s="1">
        <v>192</v>
      </c>
      <c r="C1020" s="1">
        <v>5</v>
      </c>
    </row>
    <row r="1021" spans="1:3" x14ac:dyDescent="0.25">
      <c r="A1021" s="1" t="s">
        <v>40</v>
      </c>
      <c r="B1021" s="1">
        <v>164.4</v>
      </c>
      <c r="C1021" s="1">
        <v>3</v>
      </c>
    </row>
    <row r="1022" spans="1:3" x14ac:dyDescent="0.25">
      <c r="A1022" s="1" t="s">
        <v>50</v>
      </c>
      <c r="B1022" s="1">
        <v>42.5</v>
      </c>
      <c r="C1022" s="1">
        <v>1</v>
      </c>
    </row>
    <row r="1023" spans="1:3" x14ac:dyDescent="0.25">
      <c r="A1023" s="1" t="s">
        <v>36</v>
      </c>
      <c r="B1023" s="1">
        <v>76.8</v>
      </c>
      <c r="C1023" s="1">
        <v>2</v>
      </c>
    </row>
    <row r="1024" spans="1:3" x14ac:dyDescent="0.25">
      <c r="A1024" s="1" t="s">
        <v>33</v>
      </c>
      <c r="B1024" s="1">
        <v>80</v>
      </c>
      <c r="C1024" s="1">
        <v>2</v>
      </c>
    </row>
    <row r="1025" spans="1:3" x14ac:dyDescent="0.25">
      <c r="A1025" s="1" t="s">
        <v>54</v>
      </c>
      <c r="B1025" s="1">
        <v>76.8</v>
      </c>
      <c r="C1025" s="1">
        <v>2</v>
      </c>
    </row>
    <row r="1026" spans="1:3" x14ac:dyDescent="0.25">
      <c r="A1026" s="1" t="s">
        <v>41</v>
      </c>
      <c r="B1026" s="1">
        <v>28.75</v>
      </c>
      <c r="C1026" s="1">
        <v>1</v>
      </c>
    </row>
    <row r="1027" spans="1:3" x14ac:dyDescent="0.25">
      <c r="A1027" s="1" t="s">
        <v>27</v>
      </c>
      <c r="B1027" s="1">
        <v>76.8</v>
      </c>
      <c r="C1027" s="1">
        <v>2</v>
      </c>
    </row>
    <row r="1028" spans="1:3" x14ac:dyDescent="0.25">
      <c r="A1028" s="1" t="s">
        <v>106</v>
      </c>
      <c r="B1028" s="1"/>
      <c r="C1028" s="1"/>
    </row>
    <row r="1029" spans="1:3" x14ac:dyDescent="0.25">
      <c r="A1029" s="1" t="s">
        <v>1</v>
      </c>
      <c r="B1029" s="1">
        <v>124</v>
      </c>
      <c r="C1029" s="1"/>
    </row>
    <row r="1030" spans="1:3" x14ac:dyDescent="0.25">
      <c r="A1030" s="1" t="s">
        <v>2</v>
      </c>
      <c r="B1030" s="1">
        <v>4715.8100000000004</v>
      </c>
      <c r="C1030" s="1"/>
    </row>
    <row r="1031" spans="1:3" x14ac:dyDescent="0.25">
      <c r="A1031" s="1" t="s">
        <v>3</v>
      </c>
      <c r="B1031" s="1" t="s">
        <v>4</v>
      </c>
      <c r="C1031" s="1" t="s">
        <v>5</v>
      </c>
    </row>
    <row r="1032" spans="1:3" x14ac:dyDescent="0.25">
      <c r="A1032" s="1" t="s">
        <v>20</v>
      </c>
      <c r="B1032" s="1">
        <v>537.6</v>
      </c>
      <c r="C1032" s="1">
        <v>15</v>
      </c>
    </row>
    <row r="1033" spans="1:3" x14ac:dyDescent="0.25">
      <c r="A1033" s="1" t="s">
        <v>18</v>
      </c>
      <c r="B1033" s="1">
        <v>576</v>
      </c>
      <c r="C1033" s="1">
        <v>15</v>
      </c>
    </row>
    <row r="1034" spans="1:3" x14ac:dyDescent="0.25">
      <c r="A1034" s="1" t="s">
        <v>15</v>
      </c>
      <c r="B1034" s="1">
        <v>136</v>
      </c>
      <c r="C1034" s="1">
        <v>3</v>
      </c>
    </row>
    <row r="1035" spans="1:3" x14ac:dyDescent="0.25">
      <c r="A1035" s="1" t="s">
        <v>21</v>
      </c>
      <c r="B1035" s="1">
        <v>109.6</v>
      </c>
      <c r="C1035" s="1">
        <v>2</v>
      </c>
    </row>
    <row r="1036" spans="1:3" x14ac:dyDescent="0.25">
      <c r="A1036" s="1" t="s">
        <v>8</v>
      </c>
      <c r="B1036" s="1">
        <v>548</v>
      </c>
      <c r="C1036" s="1">
        <v>10</v>
      </c>
    </row>
    <row r="1037" spans="1:3" x14ac:dyDescent="0.25">
      <c r="A1037" s="1" t="s">
        <v>49</v>
      </c>
      <c r="B1037" s="1">
        <v>1280</v>
      </c>
      <c r="C1037" s="1">
        <v>32</v>
      </c>
    </row>
    <row r="1038" spans="1:3" x14ac:dyDescent="0.25">
      <c r="A1038" s="1" t="s">
        <v>22</v>
      </c>
      <c r="B1038" s="1">
        <v>109.6</v>
      </c>
      <c r="C1038" s="1">
        <v>2</v>
      </c>
    </row>
    <row r="1039" spans="1:3" x14ac:dyDescent="0.25">
      <c r="A1039" s="1" t="s">
        <v>17</v>
      </c>
      <c r="B1039" s="1">
        <v>345.6</v>
      </c>
      <c r="C1039" s="1">
        <v>9</v>
      </c>
    </row>
    <row r="1040" spans="1:3" x14ac:dyDescent="0.25">
      <c r="A1040" s="1" t="s">
        <v>51</v>
      </c>
      <c r="B1040" s="1">
        <v>115.2</v>
      </c>
      <c r="C1040" s="1">
        <v>5</v>
      </c>
    </row>
    <row r="1041" spans="1:3" x14ac:dyDescent="0.25">
      <c r="A1041" s="1" t="s">
        <v>31</v>
      </c>
      <c r="B1041" s="1">
        <v>34.56</v>
      </c>
      <c r="C1041" s="1">
        <v>1</v>
      </c>
    </row>
    <row r="1042" spans="1:3" x14ac:dyDescent="0.25">
      <c r="A1042" s="1" t="s">
        <v>33</v>
      </c>
      <c r="B1042" s="1">
        <v>80</v>
      </c>
      <c r="C1042" s="1">
        <v>2</v>
      </c>
    </row>
    <row r="1043" spans="1:3" x14ac:dyDescent="0.25">
      <c r="A1043" s="1" t="s">
        <v>12</v>
      </c>
      <c r="B1043" s="1">
        <v>70</v>
      </c>
      <c r="C1043" s="1">
        <v>2</v>
      </c>
    </row>
    <row r="1044" spans="1:3" x14ac:dyDescent="0.25">
      <c r="A1044" s="1" t="s">
        <v>74</v>
      </c>
      <c r="B1044" s="1">
        <v>74</v>
      </c>
      <c r="C1044" s="1">
        <v>1</v>
      </c>
    </row>
    <row r="1045" spans="1:3" x14ac:dyDescent="0.25">
      <c r="A1045" s="1" t="s">
        <v>32</v>
      </c>
      <c r="B1045" s="1">
        <v>38.4</v>
      </c>
      <c r="C1045" s="1">
        <v>1</v>
      </c>
    </row>
    <row r="1046" spans="1:3" x14ac:dyDescent="0.25">
      <c r="A1046" s="1" t="s">
        <v>10</v>
      </c>
      <c r="B1046" s="1">
        <v>76.8</v>
      </c>
      <c r="C1046" s="1">
        <v>2</v>
      </c>
    </row>
    <row r="1047" spans="1:3" x14ac:dyDescent="0.25">
      <c r="A1047" s="1" t="s">
        <v>16</v>
      </c>
      <c r="B1047" s="1">
        <v>35.200000000000003</v>
      </c>
      <c r="C1047" s="1">
        <v>1</v>
      </c>
    </row>
    <row r="1048" spans="1:3" x14ac:dyDescent="0.25">
      <c r="A1048" s="1" t="s">
        <v>6</v>
      </c>
      <c r="B1048" s="1">
        <v>54.8</v>
      </c>
      <c r="C1048" s="1">
        <v>1</v>
      </c>
    </row>
    <row r="1049" spans="1:3" x14ac:dyDescent="0.25">
      <c r="A1049" s="1" t="s">
        <v>40</v>
      </c>
      <c r="B1049" s="1">
        <v>54.8</v>
      </c>
      <c r="C1049" s="1">
        <v>1</v>
      </c>
    </row>
    <row r="1050" spans="1:3" x14ac:dyDescent="0.25">
      <c r="A1050" s="1" t="s">
        <v>56</v>
      </c>
      <c r="B1050" s="1">
        <v>38.4</v>
      </c>
      <c r="C1050" s="1">
        <v>1</v>
      </c>
    </row>
    <row r="1051" spans="1:3" x14ac:dyDescent="0.25">
      <c r="A1051" s="1" t="s">
        <v>54</v>
      </c>
      <c r="B1051" s="1">
        <v>76.8</v>
      </c>
      <c r="C1051" s="1">
        <v>2</v>
      </c>
    </row>
    <row r="1052" spans="1:3" x14ac:dyDescent="0.25">
      <c r="A1052" s="1" t="s">
        <v>25</v>
      </c>
      <c r="B1052" s="1">
        <v>40</v>
      </c>
      <c r="C1052" s="1">
        <v>1</v>
      </c>
    </row>
    <row r="1053" spans="1:3" x14ac:dyDescent="0.25">
      <c r="A1053" s="1" t="s">
        <v>50</v>
      </c>
      <c r="B1053" s="1">
        <v>42.5</v>
      </c>
      <c r="C1053" s="1">
        <v>1</v>
      </c>
    </row>
    <row r="1054" spans="1:3" x14ac:dyDescent="0.25">
      <c r="A1054" s="1" t="s">
        <v>55</v>
      </c>
      <c r="B1054" s="1">
        <v>153.6</v>
      </c>
      <c r="C1054" s="1">
        <v>12</v>
      </c>
    </row>
    <row r="1055" spans="1:3" x14ac:dyDescent="0.25">
      <c r="A1055" s="1" t="s">
        <v>67</v>
      </c>
      <c r="B1055" s="1">
        <v>49.95</v>
      </c>
      <c r="C1055" s="1">
        <v>1</v>
      </c>
    </row>
    <row r="1056" spans="1:3" x14ac:dyDescent="0.25">
      <c r="A1056" s="1" t="s">
        <v>44</v>
      </c>
      <c r="B1056" s="1">
        <v>38.4</v>
      </c>
      <c r="C1056" s="1">
        <v>1</v>
      </c>
    </row>
    <row r="1057" spans="1:3" x14ac:dyDescent="0.25">
      <c r="A1057" s="1" t="s">
        <v>107</v>
      </c>
      <c r="B1057" s="1"/>
      <c r="C1057" s="1"/>
    </row>
    <row r="1058" spans="1:3" x14ac:dyDescent="0.25">
      <c r="A1058" s="1" t="s">
        <v>1</v>
      </c>
      <c r="B1058" s="1">
        <v>12</v>
      </c>
      <c r="C1058" s="1"/>
    </row>
    <row r="1059" spans="1:3" x14ac:dyDescent="0.25">
      <c r="A1059" s="1" t="s">
        <v>2</v>
      </c>
      <c r="B1059" s="1">
        <v>525.95000000000005</v>
      </c>
      <c r="C1059" s="1"/>
    </row>
    <row r="1060" spans="1:3" x14ac:dyDescent="0.25">
      <c r="A1060" s="1" t="s">
        <v>3</v>
      </c>
      <c r="B1060" s="1" t="s">
        <v>4</v>
      </c>
      <c r="C1060" s="1" t="s">
        <v>5</v>
      </c>
    </row>
    <row r="1061" spans="1:3" x14ac:dyDescent="0.25">
      <c r="A1061" s="1" t="s">
        <v>8</v>
      </c>
      <c r="B1061" s="1">
        <v>328.8</v>
      </c>
      <c r="C1061" s="1">
        <v>6</v>
      </c>
    </row>
    <row r="1062" spans="1:3" x14ac:dyDescent="0.25">
      <c r="A1062" s="1" t="s">
        <v>16</v>
      </c>
      <c r="B1062" s="1">
        <v>35.200000000000003</v>
      </c>
      <c r="C1062" s="1">
        <v>1</v>
      </c>
    </row>
    <row r="1063" spans="1:3" x14ac:dyDescent="0.25">
      <c r="A1063" s="1" t="s">
        <v>49</v>
      </c>
      <c r="B1063" s="1">
        <v>40</v>
      </c>
      <c r="C1063" s="1">
        <v>1</v>
      </c>
    </row>
    <row r="1064" spans="1:3" x14ac:dyDescent="0.25">
      <c r="A1064" s="1" t="s">
        <v>14</v>
      </c>
      <c r="B1064" s="1">
        <v>28.75</v>
      </c>
      <c r="C1064" s="1">
        <v>1</v>
      </c>
    </row>
    <row r="1065" spans="1:3" x14ac:dyDescent="0.25">
      <c r="A1065" s="1" t="s">
        <v>20</v>
      </c>
      <c r="B1065" s="1">
        <v>38.4</v>
      </c>
      <c r="C1065" s="1">
        <v>1</v>
      </c>
    </row>
    <row r="1066" spans="1:3" x14ac:dyDescent="0.25">
      <c r="A1066" s="1" t="s">
        <v>7</v>
      </c>
      <c r="B1066" s="1">
        <v>54.8</v>
      </c>
      <c r="C1066" s="1">
        <v>2</v>
      </c>
    </row>
    <row r="1067" spans="1:3" x14ac:dyDescent="0.25">
      <c r="A1067" s="1" t="s">
        <v>108</v>
      </c>
      <c r="B1067" s="1"/>
      <c r="C1067" s="1"/>
    </row>
    <row r="1068" spans="1:3" x14ac:dyDescent="0.25">
      <c r="A1068" s="1" t="s">
        <v>1</v>
      </c>
      <c r="B1068" s="1">
        <v>45</v>
      </c>
      <c r="C1068" s="1"/>
    </row>
    <row r="1069" spans="1:3" x14ac:dyDescent="0.25">
      <c r="A1069" s="1" t="s">
        <v>2</v>
      </c>
      <c r="B1069" s="1">
        <v>1762.15</v>
      </c>
      <c r="C1069" s="1"/>
    </row>
    <row r="1070" spans="1:3" x14ac:dyDescent="0.25">
      <c r="A1070" s="1" t="s">
        <v>3</v>
      </c>
      <c r="B1070" s="1" t="s">
        <v>4</v>
      </c>
      <c r="C1070" s="1" t="s">
        <v>5</v>
      </c>
    </row>
    <row r="1071" spans="1:3" x14ac:dyDescent="0.25">
      <c r="A1071" s="1" t="s">
        <v>20</v>
      </c>
      <c r="B1071" s="1">
        <v>230.4</v>
      </c>
      <c r="C1071" s="1">
        <v>6</v>
      </c>
    </row>
    <row r="1072" spans="1:3" x14ac:dyDescent="0.25">
      <c r="A1072" s="1" t="s">
        <v>22</v>
      </c>
      <c r="B1072" s="1">
        <v>54.8</v>
      </c>
      <c r="C1072" s="1">
        <v>1</v>
      </c>
    </row>
    <row r="1073" spans="1:3" x14ac:dyDescent="0.25">
      <c r="A1073" s="1" t="s">
        <v>8</v>
      </c>
      <c r="B1073" s="1">
        <v>274</v>
      </c>
      <c r="C1073" s="1">
        <v>5</v>
      </c>
    </row>
    <row r="1074" spans="1:3" x14ac:dyDescent="0.25">
      <c r="A1074" s="1" t="s">
        <v>17</v>
      </c>
      <c r="B1074" s="1">
        <v>115.2</v>
      </c>
      <c r="C1074" s="1">
        <v>3</v>
      </c>
    </row>
    <row r="1075" spans="1:3" x14ac:dyDescent="0.25">
      <c r="A1075" s="1" t="s">
        <v>15</v>
      </c>
      <c r="B1075" s="1">
        <v>68</v>
      </c>
      <c r="C1075" s="1">
        <v>1</v>
      </c>
    </row>
    <row r="1076" spans="1:3" x14ac:dyDescent="0.25">
      <c r="A1076" s="1" t="s">
        <v>13</v>
      </c>
      <c r="B1076" s="1">
        <v>38.4</v>
      </c>
      <c r="C1076" s="1">
        <v>1</v>
      </c>
    </row>
    <row r="1077" spans="1:3" x14ac:dyDescent="0.25">
      <c r="A1077" s="1" t="s">
        <v>10</v>
      </c>
      <c r="B1077" s="1">
        <v>76.8</v>
      </c>
      <c r="C1077" s="1">
        <v>2</v>
      </c>
    </row>
    <row r="1078" spans="1:3" x14ac:dyDescent="0.25">
      <c r="A1078" s="1" t="s">
        <v>18</v>
      </c>
      <c r="B1078" s="1">
        <v>192</v>
      </c>
      <c r="C1078" s="1">
        <v>5</v>
      </c>
    </row>
    <row r="1079" spans="1:3" x14ac:dyDescent="0.25">
      <c r="A1079" s="1" t="s">
        <v>12</v>
      </c>
      <c r="B1079" s="1">
        <v>105</v>
      </c>
      <c r="C1079" s="1">
        <v>3</v>
      </c>
    </row>
    <row r="1080" spans="1:3" x14ac:dyDescent="0.25">
      <c r="A1080" s="1" t="s">
        <v>33</v>
      </c>
      <c r="B1080" s="1">
        <v>80</v>
      </c>
      <c r="C1080" s="1">
        <v>2</v>
      </c>
    </row>
    <row r="1081" spans="1:3" x14ac:dyDescent="0.25">
      <c r="A1081" s="1" t="s">
        <v>35</v>
      </c>
      <c r="B1081" s="1">
        <v>38.4</v>
      </c>
      <c r="C1081" s="1">
        <v>2</v>
      </c>
    </row>
    <row r="1082" spans="1:3" x14ac:dyDescent="0.25">
      <c r="A1082" s="1" t="s">
        <v>32</v>
      </c>
      <c r="B1082" s="1">
        <v>38.4</v>
      </c>
      <c r="C1082" s="1">
        <v>1</v>
      </c>
    </row>
    <row r="1083" spans="1:3" x14ac:dyDescent="0.25">
      <c r="A1083" s="1" t="s">
        <v>6</v>
      </c>
      <c r="B1083" s="1">
        <v>54.8</v>
      </c>
      <c r="C1083" s="1">
        <v>2</v>
      </c>
    </row>
    <row r="1084" spans="1:3" x14ac:dyDescent="0.25">
      <c r="A1084" s="1" t="s">
        <v>61</v>
      </c>
      <c r="B1084" s="1">
        <v>64</v>
      </c>
      <c r="C1084" s="1">
        <v>1</v>
      </c>
    </row>
    <row r="1085" spans="1:3" x14ac:dyDescent="0.25">
      <c r="A1085" s="1" t="s">
        <v>55</v>
      </c>
      <c r="B1085" s="1">
        <v>76.8</v>
      </c>
      <c r="C1085" s="1">
        <v>4</v>
      </c>
    </row>
    <row r="1086" spans="1:3" x14ac:dyDescent="0.25">
      <c r="A1086" s="1" t="s">
        <v>49</v>
      </c>
      <c r="B1086" s="1">
        <v>40</v>
      </c>
      <c r="C1086" s="1">
        <v>1</v>
      </c>
    </row>
    <row r="1087" spans="1:3" x14ac:dyDescent="0.25">
      <c r="A1087" s="1" t="s">
        <v>41</v>
      </c>
      <c r="B1087" s="1">
        <v>28.75</v>
      </c>
      <c r="C1087" s="1">
        <v>1</v>
      </c>
    </row>
    <row r="1088" spans="1:3" x14ac:dyDescent="0.25">
      <c r="A1088" s="1" t="s">
        <v>40</v>
      </c>
      <c r="B1088" s="1">
        <v>109.6</v>
      </c>
      <c r="C1088" s="1">
        <v>2</v>
      </c>
    </row>
    <row r="1089" spans="1:3" x14ac:dyDescent="0.25">
      <c r="A1089" s="1" t="s">
        <v>62</v>
      </c>
      <c r="B1089" s="1">
        <v>76.8</v>
      </c>
      <c r="C1089" s="1">
        <v>2</v>
      </c>
    </row>
    <row r="1090" spans="1:3" x14ac:dyDescent="0.25">
      <c r="A1090" s="1" t="s">
        <v>109</v>
      </c>
      <c r="B1090" s="1"/>
      <c r="C1090" s="1"/>
    </row>
    <row r="1091" spans="1:3" x14ac:dyDescent="0.25">
      <c r="A1091" s="1" t="s">
        <v>1</v>
      </c>
      <c r="B1091" s="1">
        <v>18</v>
      </c>
      <c r="C1091" s="1"/>
    </row>
    <row r="1092" spans="1:3" x14ac:dyDescent="0.25">
      <c r="A1092" s="1" t="s">
        <v>2</v>
      </c>
      <c r="B1092" s="1">
        <v>766.44</v>
      </c>
      <c r="C1092" s="1"/>
    </row>
    <row r="1093" spans="1:3" x14ac:dyDescent="0.25">
      <c r="A1093" s="1" t="s">
        <v>3</v>
      </c>
      <c r="B1093" s="1" t="s">
        <v>4</v>
      </c>
      <c r="C1093" s="1" t="s">
        <v>5</v>
      </c>
    </row>
    <row r="1094" spans="1:3" x14ac:dyDescent="0.25">
      <c r="A1094" s="1" t="s">
        <v>16</v>
      </c>
      <c r="B1094" s="1">
        <v>35.200000000000003</v>
      </c>
      <c r="C1094" s="1">
        <v>1</v>
      </c>
    </row>
    <row r="1095" spans="1:3" x14ac:dyDescent="0.25">
      <c r="A1095" s="1" t="s">
        <v>30</v>
      </c>
      <c r="B1095" s="1">
        <v>15.99</v>
      </c>
      <c r="C1095" s="1">
        <v>1</v>
      </c>
    </row>
    <row r="1096" spans="1:3" x14ac:dyDescent="0.25">
      <c r="A1096" s="1" t="s">
        <v>8</v>
      </c>
      <c r="B1096" s="1">
        <v>109.6</v>
      </c>
      <c r="C1096" s="1">
        <v>2</v>
      </c>
    </row>
    <row r="1097" spans="1:3" x14ac:dyDescent="0.25">
      <c r="A1097" s="1" t="s">
        <v>22</v>
      </c>
      <c r="B1097" s="1">
        <v>54.8</v>
      </c>
      <c r="C1097" s="1">
        <v>1</v>
      </c>
    </row>
    <row r="1098" spans="1:3" x14ac:dyDescent="0.25">
      <c r="A1098" s="1" t="s">
        <v>62</v>
      </c>
      <c r="B1098" s="1">
        <v>38.4</v>
      </c>
      <c r="C1098" s="1">
        <v>1</v>
      </c>
    </row>
    <row r="1099" spans="1:3" x14ac:dyDescent="0.25">
      <c r="A1099" s="1" t="s">
        <v>26</v>
      </c>
      <c r="B1099" s="1">
        <v>37.5</v>
      </c>
      <c r="C1099" s="1">
        <v>1</v>
      </c>
    </row>
    <row r="1100" spans="1:3" x14ac:dyDescent="0.25">
      <c r="A1100" s="1" t="s">
        <v>18</v>
      </c>
      <c r="B1100" s="1">
        <v>38.4</v>
      </c>
      <c r="C1100" s="1">
        <v>1</v>
      </c>
    </row>
    <row r="1101" spans="1:3" x14ac:dyDescent="0.25">
      <c r="A1101" s="1" t="s">
        <v>15</v>
      </c>
      <c r="B1101" s="1">
        <v>68</v>
      </c>
      <c r="C1101" s="1">
        <v>1</v>
      </c>
    </row>
    <row r="1102" spans="1:3" x14ac:dyDescent="0.25">
      <c r="A1102" s="1" t="s">
        <v>21</v>
      </c>
      <c r="B1102" s="1">
        <v>109.6</v>
      </c>
      <c r="C1102" s="1">
        <v>2</v>
      </c>
    </row>
    <row r="1103" spans="1:3" x14ac:dyDescent="0.25">
      <c r="A1103" s="1" t="s">
        <v>20</v>
      </c>
      <c r="B1103" s="1">
        <v>38.4</v>
      </c>
      <c r="C1103" s="1">
        <v>1</v>
      </c>
    </row>
    <row r="1104" spans="1:3" x14ac:dyDescent="0.25">
      <c r="A1104" s="1" t="s">
        <v>12</v>
      </c>
      <c r="B1104" s="1">
        <v>35</v>
      </c>
      <c r="C1104" s="1">
        <v>1</v>
      </c>
    </row>
    <row r="1105" spans="1:3" x14ac:dyDescent="0.25">
      <c r="A1105" s="1" t="s">
        <v>54</v>
      </c>
      <c r="B1105" s="1">
        <v>38.4</v>
      </c>
      <c r="C1105" s="1">
        <v>1</v>
      </c>
    </row>
    <row r="1106" spans="1:3" x14ac:dyDescent="0.25">
      <c r="A1106" s="1" t="s">
        <v>44</v>
      </c>
      <c r="B1106" s="1">
        <v>38.4</v>
      </c>
      <c r="C1106" s="1">
        <v>1</v>
      </c>
    </row>
    <row r="1107" spans="1:3" x14ac:dyDescent="0.25">
      <c r="A1107" s="1" t="s">
        <v>57</v>
      </c>
      <c r="B1107" s="1">
        <v>40</v>
      </c>
      <c r="C1107" s="1">
        <v>1</v>
      </c>
    </row>
    <row r="1108" spans="1:3" x14ac:dyDescent="0.25">
      <c r="A1108" s="1" t="s">
        <v>45</v>
      </c>
      <c r="B1108" s="1">
        <v>28.75</v>
      </c>
      <c r="C1108" s="1">
        <v>1</v>
      </c>
    </row>
    <row r="1109" spans="1:3" x14ac:dyDescent="0.25">
      <c r="A1109" s="1" t="s">
        <v>49</v>
      </c>
      <c r="B1109" s="1">
        <v>40</v>
      </c>
      <c r="C1109" s="1">
        <v>1</v>
      </c>
    </row>
    <row r="1110" spans="1:3" x14ac:dyDescent="0.25">
      <c r="A1110" s="1" t="s">
        <v>110</v>
      </c>
      <c r="B1110" s="1"/>
      <c r="C1110" s="1"/>
    </row>
    <row r="1111" spans="1:3" x14ac:dyDescent="0.25">
      <c r="A1111" s="1" t="s">
        <v>1</v>
      </c>
      <c r="B1111" s="1">
        <v>46</v>
      </c>
      <c r="C1111" s="1"/>
    </row>
    <row r="1112" spans="1:3" x14ac:dyDescent="0.25">
      <c r="A1112" s="1" t="s">
        <v>2</v>
      </c>
      <c r="B1112" s="1">
        <v>1821.31</v>
      </c>
      <c r="C1112" s="1"/>
    </row>
    <row r="1113" spans="1:3" x14ac:dyDescent="0.25">
      <c r="A1113" s="1" t="s">
        <v>3</v>
      </c>
      <c r="B1113" s="1" t="s">
        <v>4</v>
      </c>
      <c r="C1113" s="1" t="s">
        <v>5</v>
      </c>
    </row>
    <row r="1114" spans="1:3" x14ac:dyDescent="0.25">
      <c r="A1114" s="1" t="s">
        <v>14</v>
      </c>
      <c r="B1114" s="1">
        <v>57.5</v>
      </c>
      <c r="C1114" s="1">
        <v>2</v>
      </c>
    </row>
    <row r="1115" spans="1:3" x14ac:dyDescent="0.25">
      <c r="A1115" s="1" t="s">
        <v>9</v>
      </c>
      <c r="B1115" s="1">
        <v>109.6</v>
      </c>
      <c r="C1115" s="1">
        <v>2</v>
      </c>
    </row>
    <row r="1116" spans="1:3" x14ac:dyDescent="0.25">
      <c r="A1116" s="1" t="s">
        <v>19</v>
      </c>
      <c r="B1116" s="1">
        <v>57.5</v>
      </c>
      <c r="C1116" s="1">
        <v>2</v>
      </c>
    </row>
    <row r="1117" spans="1:3" x14ac:dyDescent="0.25">
      <c r="A1117" s="1" t="s">
        <v>12</v>
      </c>
      <c r="B1117" s="1">
        <v>175</v>
      </c>
      <c r="C1117" s="1">
        <v>5</v>
      </c>
    </row>
    <row r="1118" spans="1:3" x14ac:dyDescent="0.25">
      <c r="A1118" s="1" t="s">
        <v>21</v>
      </c>
      <c r="B1118" s="1">
        <v>109.6</v>
      </c>
      <c r="C1118" s="1">
        <v>2</v>
      </c>
    </row>
    <row r="1119" spans="1:3" x14ac:dyDescent="0.25">
      <c r="A1119" s="1" t="s">
        <v>20</v>
      </c>
      <c r="B1119" s="1">
        <v>345.6</v>
      </c>
      <c r="C1119" s="1">
        <v>9</v>
      </c>
    </row>
    <row r="1120" spans="1:3" x14ac:dyDescent="0.25">
      <c r="A1120" s="1" t="s">
        <v>13</v>
      </c>
      <c r="B1120" s="1">
        <v>76.8</v>
      </c>
      <c r="C1120" s="1">
        <v>2</v>
      </c>
    </row>
    <row r="1121" spans="1:3" x14ac:dyDescent="0.25">
      <c r="A1121" s="1" t="s">
        <v>40</v>
      </c>
      <c r="B1121" s="1">
        <v>109.6</v>
      </c>
      <c r="C1121" s="1">
        <v>2</v>
      </c>
    </row>
    <row r="1122" spans="1:3" x14ac:dyDescent="0.25">
      <c r="A1122" s="1" t="s">
        <v>8</v>
      </c>
      <c r="B1122" s="1">
        <v>109.6</v>
      </c>
      <c r="C1122" s="1">
        <v>2</v>
      </c>
    </row>
    <row r="1123" spans="1:3" x14ac:dyDescent="0.25">
      <c r="A1123" s="1" t="s">
        <v>31</v>
      </c>
      <c r="B1123" s="1">
        <v>34.56</v>
      </c>
      <c r="C1123" s="1">
        <v>1</v>
      </c>
    </row>
    <row r="1124" spans="1:3" x14ac:dyDescent="0.25">
      <c r="A1124" s="1" t="s">
        <v>18</v>
      </c>
      <c r="B1124" s="1">
        <v>153.6</v>
      </c>
      <c r="C1124" s="1">
        <v>4</v>
      </c>
    </row>
    <row r="1125" spans="1:3" x14ac:dyDescent="0.25">
      <c r="A1125" s="1" t="s">
        <v>17</v>
      </c>
      <c r="B1125" s="1">
        <v>153.6</v>
      </c>
      <c r="C1125" s="1">
        <v>5</v>
      </c>
    </row>
    <row r="1126" spans="1:3" x14ac:dyDescent="0.25">
      <c r="A1126" s="1" t="s">
        <v>37</v>
      </c>
      <c r="B1126" s="1">
        <v>54.8</v>
      </c>
      <c r="C1126" s="1">
        <v>1</v>
      </c>
    </row>
    <row r="1127" spans="1:3" x14ac:dyDescent="0.25">
      <c r="A1127" s="1" t="s">
        <v>16</v>
      </c>
      <c r="B1127" s="1">
        <v>35.200000000000003</v>
      </c>
      <c r="C1127" s="1">
        <v>1</v>
      </c>
    </row>
    <row r="1128" spans="1:3" x14ac:dyDescent="0.25">
      <c r="A1128" s="1" t="s">
        <v>6</v>
      </c>
      <c r="B1128" s="1">
        <v>54.8</v>
      </c>
      <c r="C1128" s="1">
        <v>1</v>
      </c>
    </row>
    <row r="1129" spans="1:3" x14ac:dyDescent="0.25">
      <c r="A1129" s="1" t="s">
        <v>49</v>
      </c>
      <c r="B1129" s="1">
        <v>40</v>
      </c>
      <c r="C1129" s="1">
        <v>1</v>
      </c>
    </row>
    <row r="1130" spans="1:3" x14ac:dyDescent="0.25">
      <c r="A1130" s="1" t="s">
        <v>43</v>
      </c>
      <c r="B1130" s="1">
        <v>28.75</v>
      </c>
      <c r="C1130" s="1">
        <v>1</v>
      </c>
    </row>
    <row r="1131" spans="1:3" x14ac:dyDescent="0.25">
      <c r="A1131" s="1" t="s">
        <v>44</v>
      </c>
      <c r="B1131" s="1">
        <v>76.8</v>
      </c>
      <c r="C1131" s="1">
        <v>2</v>
      </c>
    </row>
    <row r="1132" spans="1:3" x14ac:dyDescent="0.25">
      <c r="A1132" s="1" t="s">
        <v>51</v>
      </c>
      <c r="B1132" s="1">
        <v>38.4</v>
      </c>
      <c r="C1132" s="1">
        <v>1</v>
      </c>
    </row>
    <row r="1133" spans="1:3" x14ac:dyDescent="0.25">
      <c r="A1133" s="1" t="s">
        <v>111</v>
      </c>
      <c r="B1133" s="1"/>
      <c r="C1133" s="1"/>
    </row>
    <row r="1134" spans="1:3" x14ac:dyDescent="0.25">
      <c r="A1134" s="1" t="s">
        <v>1</v>
      </c>
      <c r="B1134" s="1">
        <v>60</v>
      </c>
      <c r="C1134" s="1"/>
    </row>
    <row r="1135" spans="1:3" x14ac:dyDescent="0.25">
      <c r="A1135" s="1" t="s">
        <v>2</v>
      </c>
      <c r="B1135" s="1">
        <v>2398.94</v>
      </c>
      <c r="C1135" s="1"/>
    </row>
    <row r="1136" spans="1:3" x14ac:dyDescent="0.25">
      <c r="A1136" s="1" t="s">
        <v>3</v>
      </c>
      <c r="B1136" s="1" t="s">
        <v>4</v>
      </c>
      <c r="C1136" s="1" t="s">
        <v>5</v>
      </c>
    </row>
    <row r="1137" spans="1:3" x14ac:dyDescent="0.25">
      <c r="A1137" s="1" t="s">
        <v>40</v>
      </c>
      <c r="B1137" s="1">
        <v>164.4</v>
      </c>
      <c r="C1137" s="1">
        <v>3</v>
      </c>
    </row>
    <row r="1138" spans="1:3" x14ac:dyDescent="0.25">
      <c r="A1138" s="1" t="s">
        <v>20</v>
      </c>
      <c r="B1138" s="1">
        <v>230.4</v>
      </c>
      <c r="C1138" s="1">
        <v>6</v>
      </c>
    </row>
    <row r="1139" spans="1:3" x14ac:dyDescent="0.25">
      <c r="A1139" s="1" t="s">
        <v>18</v>
      </c>
      <c r="B1139" s="1">
        <v>153.6</v>
      </c>
      <c r="C1139" s="1">
        <v>4</v>
      </c>
    </row>
    <row r="1140" spans="1:3" x14ac:dyDescent="0.25">
      <c r="A1140" s="1" t="s">
        <v>28</v>
      </c>
      <c r="B1140" s="1">
        <v>38.4</v>
      </c>
      <c r="C1140" s="1">
        <v>1</v>
      </c>
    </row>
    <row r="1141" spans="1:3" x14ac:dyDescent="0.25">
      <c r="A1141" s="1" t="s">
        <v>17</v>
      </c>
      <c r="B1141" s="1">
        <v>192</v>
      </c>
      <c r="C1141" s="1">
        <v>5</v>
      </c>
    </row>
    <row r="1142" spans="1:3" x14ac:dyDescent="0.25">
      <c r="A1142" s="1" t="s">
        <v>7</v>
      </c>
      <c r="B1142" s="1">
        <v>274</v>
      </c>
      <c r="C1142" s="1">
        <v>6</v>
      </c>
    </row>
    <row r="1143" spans="1:3" x14ac:dyDescent="0.25">
      <c r="A1143" s="1" t="s">
        <v>22</v>
      </c>
      <c r="B1143" s="1">
        <v>109.6</v>
      </c>
      <c r="C1143" s="1">
        <v>2</v>
      </c>
    </row>
    <row r="1144" spans="1:3" x14ac:dyDescent="0.25">
      <c r="A1144" s="1" t="s">
        <v>12</v>
      </c>
      <c r="B1144" s="1">
        <v>140</v>
      </c>
      <c r="C1144" s="1">
        <v>4</v>
      </c>
    </row>
    <row r="1145" spans="1:3" x14ac:dyDescent="0.25">
      <c r="A1145" s="1" t="s">
        <v>16</v>
      </c>
      <c r="B1145" s="1">
        <v>105.6</v>
      </c>
      <c r="C1145" s="1">
        <v>3</v>
      </c>
    </row>
    <row r="1146" spans="1:3" x14ac:dyDescent="0.25">
      <c r="A1146" s="1" t="s">
        <v>14</v>
      </c>
      <c r="B1146" s="1">
        <v>28.75</v>
      </c>
      <c r="C1146" s="1">
        <v>1</v>
      </c>
    </row>
    <row r="1147" spans="1:3" x14ac:dyDescent="0.25">
      <c r="A1147" s="1" t="s">
        <v>53</v>
      </c>
      <c r="B1147" s="1">
        <v>28.75</v>
      </c>
      <c r="C1147" s="1">
        <v>1</v>
      </c>
    </row>
    <row r="1148" spans="1:3" x14ac:dyDescent="0.25">
      <c r="A1148" s="1" t="s">
        <v>19</v>
      </c>
      <c r="B1148" s="1">
        <v>28.75</v>
      </c>
      <c r="C1148" s="1">
        <v>1</v>
      </c>
    </row>
    <row r="1149" spans="1:3" x14ac:dyDescent="0.25">
      <c r="A1149" s="1" t="s">
        <v>33</v>
      </c>
      <c r="B1149" s="1">
        <v>200</v>
      </c>
      <c r="C1149" s="1">
        <v>5</v>
      </c>
    </row>
    <row r="1150" spans="1:3" x14ac:dyDescent="0.25">
      <c r="A1150" s="1" t="s">
        <v>25</v>
      </c>
      <c r="B1150" s="1">
        <v>40</v>
      </c>
      <c r="C1150" s="1">
        <v>1</v>
      </c>
    </row>
    <row r="1151" spans="1:3" x14ac:dyDescent="0.25">
      <c r="A1151" s="1" t="s">
        <v>6</v>
      </c>
      <c r="B1151" s="1">
        <v>164.4</v>
      </c>
      <c r="C1151" s="1">
        <v>3</v>
      </c>
    </row>
    <row r="1152" spans="1:3" x14ac:dyDescent="0.25">
      <c r="A1152" s="1" t="s">
        <v>37</v>
      </c>
      <c r="B1152" s="1">
        <v>54.8</v>
      </c>
      <c r="C1152" s="1">
        <v>1</v>
      </c>
    </row>
    <row r="1153" spans="1:3" x14ac:dyDescent="0.25">
      <c r="A1153" s="1" t="s">
        <v>21</v>
      </c>
      <c r="B1153" s="1">
        <v>164.4</v>
      </c>
      <c r="C1153" s="1">
        <v>3</v>
      </c>
    </row>
    <row r="1154" spans="1:3" x14ac:dyDescent="0.25">
      <c r="A1154" s="1" t="s">
        <v>30</v>
      </c>
      <c r="B1154" s="1">
        <v>15.99</v>
      </c>
      <c r="C1154" s="1">
        <v>1</v>
      </c>
    </row>
    <row r="1155" spans="1:3" x14ac:dyDescent="0.25">
      <c r="A1155" s="1" t="s">
        <v>8</v>
      </c>
      <c r="B1155" s="1">
        <v>109.6</v>
      </c>
      <c r="C1155" s="1">
        <v>5</v>
      </c>
    </row>
    <row r="1156" spans="1:3" x14ac:dyDescent="0.25">
      <c r="A1156" s="1" t="s">
        <v>67</v>
      </c>
      <c r="B1156" s="1">
        <v>49.95</v>
      </c>
      <c r="C1156" s="1">
        <v>1</v>
      </c>
    </row>
    <row r="1157" spans="1:3" x14ac:dyDescent="0.25">
      <c r="A1157" s="1" t="s">
        <v>56</v>
      </c>
      <c r="B1157" s="1">
        <v>38.4</v>
      </c>
      <c r="C1157" s="1">
        <v>1</v>
      </c>
    </row>
    <row r="1158" spans="1:3" x14ac:dyDescent="0.25">
      <c r="A1158" s="1" t="s">
        <v>54</v>
      </c>
      <c r="B1158" s="1">
        <v>38.4</v>
      </c>
      <c r="C1158" s="1">
        <v>1</v>
      </c>
    </row>
    <row r="1159" spans="1:3" x14ac:dyDescent="0.25">
      <c r="A1159" s="1" t="s">
        <v>45</v>
      </c>
      <c r="B1159" s="1">
        <v>28.75</v>
      </c>
      <c r="C1159" s="1">
        <v>1</v>
      </c>
    </row>
    <row r="1160" spans="1:3" x14ac:dyDescent="0.25">
      <c r="A1160" s="1" t="s">
        <v>112</v>
      </c>
      <c r="B1160" s="1"/>
      <c r="C1160" s="1"/>
    </row>
    <row r="1161" spans="1:3" x14ac:dyDescent="0.25">
      <c r="A1161" s="1" t="s">
        <v>1</v>
      </c>
      <c r="B1161" s="1">
        <v>28</v>
      </c>
      <c r="C1161" s="1"/>
    </row>
    <row r="1162" spans="1:3" x14ac:dyDescent="0.25">
      <c r="A1162" s="1" t="s">
        <v>2</v>
      </c>
      <c r="B1162" s="1">
        <v>1214.8900000000001</v>
      </c>
      <c r="C1162" s="1"/>
    </row>
    <row r="1163" spans="1:3" x14ac:dyDescent="0.25">
      <c r="A1163" s="1" t="s">
        <v>3</v>
      </c>
      <c r="B1163" s="1" t="s">
        <v>4</v>
      </c>
      <c r="C1163" s="1" t="s">
        <v>5</v>
      </c>
    </row>
    <row r="1164" spans="1:3" x14ac:dyDescent="0.25">
      <c r="A1164" s="1" t="s">
        <v>20</v>
      </c>
      <c r="B1164" s="1">
        <v>76.8</v>
      </c>
      <c r="C1164" s="1">
        <v>2</v>
      </c>
    </row>
    <row r="1165" spans="1:3" x14ac:dyDescent="0.25">
      <c r="A1165" s="1" t="s">
        <v>8</v>
      </c>
      <c r="B1165" s="1">
        <v>219.2</v>
      </c>
      <c r="C1165" s="1">
        <v>4</v>
      </c>
    </row>
    <row r="1166" spans="1:3" x14ac:dyDescent="0.25">
      <c r="A1166" s="1" t="s">
        <v>12</v>
      </c>
      <c r="B1166" s="1">
        <v>105</v>
      </c>
      <c r="C1166" s="1">
        <v>3</v>
      </c>
    </row>
    <row r="1167" spans="1:3" x14ac:dyDescent="0.25">
      <c r="A1167" s="1" t="s">
        <v>49</v>
      </c>
      <c r="B1167" s="1">
        <v>40</v>
      </c>
      <c r="C1167" s="1">
        <v>1</v>
      </c>
    </row>
    <row r="1168" spans="1:3" x14ac:dyDescent="0.25">
      <c r="A1168" s="1" t="s">
        <v>17</v>
      </c>
      <c r="B1168" s="1">
        <v>115.2</v>
      </c>
      <c r="C1168" s="1">
        <v>3</v>
      </c>
    </row>
    <row r="1169" spans="1:3" x14ac:dyDescent="0.25">
      <c r="A1169" s="1" t="s">
        <v>16</v>
      </c>
      <c r="B1169" s="1">
        <v>70.400000000000006</v>
      </c>
      <c r="C1169" s="1">
        <v>2</v>
      </c>
    </row>
    <row r="1170" spans="1:3" x14ac:dyDescent="0.25">
      <c r="A1170" s="1" t="s">
        <v>15</v>
      </c>
      <c r="B1170" s="1">
        <v>68</v>
      </c>
      <c r="C1170" s="1">
        <v>1</v>
      </c>
    </row>
    <row r="1171" spans="1:3" x14ac:dyDescent="0.25">
      <c r="A1171" s="1" t="s">
        <v>74</v>
      </c>
      <c r="B1171" s="1">
        <v>74</v>
      </c>
      <c r="C1171" s="1">
        <v>1</v>
      </c>
    </row>
    <row r="1172" spans="1:3" x14ac:dyDescent="0.25">
      <c r="A1172" s="1" t="s">
        <v>53</v>
      </c>
      <c r="B1172" s="1">
        <v>28.75</v>
      </c>
      <c r="C1172" s="1">
        <v>1</v>
      </c>
    </row>
    <row r="1173" spans="1:3" x14ac:dyDescent="0.25">
      <c r="A1173" s="1" t="s">
        <v>18</v>
      </c>
      <c r="B1173" s="1">
        <v>38.4</v>
      </c>
      <c r="C1173" s="1">
        <v>1</v>
      </c>
    </row>
    <row r="1174" spans="1:3" x14ac:dyDescent="0.25">
      <c r="A1174" s="1" t="s">
        <v>40</v>
      </c>
      <c r="B1174" s="1">
        <v>109.6</v>
      </c>
      <c r="C1174" s="1">
        <v>2</v>
      </c>
    </row>
    <row r="1175" spans="1:3" x14ac:dyDescent="0.25">
      <c r="A1175" s="1" t="s">
        <v>30</v>
      </c>
      <c r="B1175" s="1">
        <v>15.99</v>
      </c>
      <c r="C1175" s="1">
        <v>1</v>
      </c>
    </row>
    <row r="1176" spans="1:3" x14ac:dyDescent="0.25">
      <c r="A1176" s="1" t="s">
        <v>13</v>
      </c>
      <c r="B1176" s="1">
        <v>38.4</v>
      </c>
      <c r="C1176" s="1">
        <v>1</v>
      </c>
    </row>
    <row r="1177" spans="1:3" x14ac:dyDescent="0.25">
      <c r="A1177" s="1" t="s">
        <v>21</v>
      </c>
      <c r="B1177" s="1">
        <v>109.6</v>
      </c>
      <c r="C1177" s="1">
        <v>2</v>
      </c>
    </row>
    <row r="1178" spans="1:3" x14ac:dyDescent="0.25">
      <c r="A1178" s="1" t="s">
        <v>41</v>
      </c>
      <c r="B1178" s="1">
        <v>28.75</v>
      </c>
      <c r="C1178" s="1">
        <v>1</v>
      </c>
    </row>
    <row r="1179" spans="1:3" x14ac:dyDescent="0.25">
      <c r="A1179" s="1" t="s">
        <v>54</v>
      </c>
      <c r="B1179" s="1">
        <v>76.8</v>
      </c>
      <c r="C1179" s="1">
        <v>2</v>
      </c>
    </row>
    <row r="1180" spans="1:3" x14ac:dyDescent="0.25">
      <c r="A1180" s="1" t="s">
        <v>113</v>
      </c>
      <c r="B1180" s="1"/>
      <c r="C1180" s="1"/>
    </row>
    <row r="1181" spans="1:3" x14ac:dyDescent="0.25">
      <c r="A1181" s="1" t="s">
        <v>1</v>
      </c>
      <c r="B1181" s="1">
        <v>64</v>
      </c>
      <c r="C1181" s="1"/>
    </row>
    <row r="1182" spans="1:3" x14ac:dyDescent="0.25">
      <c r="A1182" s="1" t="s">
        <v>2</v>
      </c>
      <c r="B1182" s="1">
        <v>2577.0500000000002</v>
      </c>
      <c r="C1182" s="1"/>
    </row>
    <row r="1183" spans="1:3" x14ac:dyDescent="0.25">
      <c r="A1183" s="1" t="s">
        <v>3</v>
      </c>
      <c r="B1183" s="1" t="s">
        <v>4</v>
      </c>
      <c r="C1183" s="1" t="s">
        <v>5</v>
      </c>
    </row>
    <row r="1184" spans="1:3" x14ac:dyDescent="0.25">
      <c r="A1184" s="1" t="s">
        <v>20</v>
      </c>
      <c r="B1184" s="1">
        <v>268.8</v>
      </c>
      <c r="C1184" s="1">
        <v>7</v>
      </c>
    </row>
    <row r="1185" spans="1:3" x14ac:dyDescent="0.25">
      <c r="A1185" s="1" t="s">
        <v>8</v>
      </c>
      <c r="B1185" s="1">
        <v>767.2</v>
      </c>
      <c r="C1185" s="1">
        <v>15</v>
      </c>
    </row>
    <row r="1186" spans="1:3" x14ac:dyDescent="0.25">
      <c r="A1186" s="1" t="s">
        <v>17</v>
      </c>
      <c r="B1186" s="1">
        <v>76.8</v>
      </c>
      <c r="C1186" s="1">
        <v>3</v>
      </c>
    </row>
    <row r="1187" spans="1:3" x14ac:dyDescent="0.25">
      <c r="A1187" s="1" t="s">
        <v>12</v>
      </c>
      <c r="B1187" s="1">
        <v>175</v>
      </c>
      <c r="C1187" s="1">
        <v>6</v>
      </c>
    </row>
    <row r="1188" spans="1:3" x14ac:dyDescent="0.25">
      <c r="A1188" s="1" t="s">
        <v>21</v>
      </c>
      <c r="B1188" s="1">
        <v>164.4</v>
      </c>
      <c r="C1188" s="1">
        <v>3</v>
      </c>
    </row>
    <row r="1189" spans="1:3" x14ac:dyDescent="0.25">
      <c r="A1189" s="1" t="s">
        <v>18</v>
      </c>
      <c r="B1189" s="1">
        <v>384</v>
      </c>
      <c r="C1189" s="1">
        <v>11</v>
      </c>
    </row>
    <row r="1190" spans="1:3" x14ac:dyDescent="0.25">
      <c r="A1190" s="1" t="s">
        <v>40</v>
      </c>
      <c r="B1190" s="1">
        <v>164.4</v>
      </c>
      <c r="C1190" s="1">
        <v>3</v>
      </c>
    </row>
    <row r="1191" spans="1:3" x14ac:dyDescent="0.25">
      <c r="A1191" s="1" t="s">
        <v>49</v>
      </c>
      <c r="B1191" s="1">
        <v>40</v>
      </c>
      <c r="C1191" s="1">
        <v>1</v>
      </c>
    </row>
    <row r="1192" spans="1:3" x14ac:dyDescent="0.25">
      <c r="A1192" s="1" t="s">
        <v>51</v>
      </c>
      <c r="B1192" s="1">
        <v>38.4</v>
      </c>
      <c r="C1192" s="1">
        <v>1</v>
      </c>
    </row>
    <row r="1193" spans="1:3" x14ac:dyDescent="0.25">
      <c r="A1193" s="1" t="s">
        <v>35</v>
      </c>
      <c r="B1193" s="1">
        <v>38.4</v>
      </c>
      <c r="C1193" s="1">
        <v>1</v>
      </c>
    </row>
    <row r="1194" spans="1:3" x14ac:dyDescent="0.25">
      <c r="A1194" s="1" t="s">
        <v>28</v>
      </c>
      <c r="B1194" s="1">
        <v>38.4</v>
      </c>
      <c r="C1194" s="1">
        <v>1</v>
      </c>
    </row>
    <row r="1195" spans="1:3" x14ac:dyDescent="0.25">
      <c r="A1195" s="1" t="s">
        <v>31</v>
      </c>
      <c r="B1195" s="1">
        <v>34.56</v>
      </c>
      <c r="C1195" s="1">
        <v>1</v>
      </c>
    </row>
    <row r="1196" spans="1:3" x14ac:dyDescent="0.25">
      <c r="A1196" s="1" t="s">
        <v>15</v>
      </c>
      <c r="B1196" s="1">
        <v>68</v>
      </c>
      <c r="C1196" s="1">
        <v>2</v>
      </c>
    </row>
    <row r="1197" spans="1:3" x14ac:dyDescent="0.25">
      <c r="A1197" s="1" t="s">
        <v>37</v>
      </c>
      <c r="B1197" s="1">
        <v>54.8</v>
      </c>
      <c r="C1197" s="1">
        <v>1</v>
      </c>
    </row>
    <row r="1198" spans="1:3" x14ac:dyDescent="0.25">
      <c r="A1198" s="1" t="s">
        <v>16</v>
      </c>
      <c r="B1198" s="1">
        <v>70.400000000000006</v>
      </c>
      <c r="C1198" s="1">
        <v>2</v>
      </c>
    </row>
    <row r="1199" spans="1:3" x14ac:dyDescent="0.25">
      <c r="A1199" s="1" t="s">
        <v>41</v>
      </c>
      <c r="B1199" s="1">
        <v>28.75</v>
      </c>
      <c r="C1199" s="1">
        <v>1</v>
      </c>
    </row>
    <row r="1200" spans="1:3" x14ac:dyDescent="0.25">
      <c r="A1200" s="1" t="s">
        <v>33</v>
      </c>
      <c r="B1200" s="1">
        <v>40</v>
      </c>
      <c r="C1200" s="1">
        <v>1</v>
      </c>
    </row>
    <row r="1201" spans="1:3" x14ac:dyDescent="0.25">
      <c r="A1201" s="1" t="s">
        <v>30</v>
      </c>
      <c r="B1201" s="1">
        <v>15.99</v>
      </c>
      <c r="C1201" s="1">
        <v>1</v>
      </c>
    </row>
    <row r="1202" spans="1:3" x14ac:dyDescent="0.25">
      <c r="A1202" s="1" t="s">
        <v>42</v>
      </c>
      <c r="B1202" s="1">
        <v>40</v>
      </c>
      <c r="C1202" s="1">
        <v>1</v>
      </c>
    </row>
    <row r="1203" spans="1:3" x14ac:dyDescent="0.25">
      <c r="A1203" s="1" t="s">
        <v>45</v>
      </c>
      <c r="B1203" s="1">
        <v>28.75</v>
      </c>
      <c r="C1203" s="1">
        <v>1</v>
      </c>
    </row>
    <row r="1204" spans="1:3" x14ac:dyDescent="0.25">
      <c r="A1204" s="1" t="s">
        <v>39</v>
      </c>
      <c r="B1204" s="1">
        <v>40</v>
      </c>
      <c r="C1204" s="1">
        <v>1</v>
      </c>
    </row>
    <row r="1205" spans="1:3" x14ac:dyDescent="0.25">
      <c r="A1205" s="1" t="s">
        <v>114</v>
      </c>
      <c r="B1205" s="1"/>
      <c r="C1205" s="1"/>
    </row>
    <row r="1206" spans="1:3" x14ac:dyDescent="0.25">
      <c r="A1206" s="1" t="s">
        <v>1</v>
      </c>
      <c r="B1206" s="1">
        <v>40</v>
      </c>
      <c r="C1206" s="1"/>
    </row>
    <row r="1207" spans="1:3" x14ac:dyDescent="0.25">
      <c r="A1207" s="1" t="s">
        <v>2</v>
      </c>
      <c r="B1207" s="1">
        <v>1636.1</v>
      </c>
      <c r="C1207" s="1"/>
    </row>
    <row r="1208" spans="1:3" x14ac:dyDescent="0.25">
      <c r="A1208" s="1" t="s">
        <v>3</v>
      </c>
      <c r="B1208" s="1" t="s">
        <v>4</v>
      </c>
      <c r="C1208" s="1" t="s">
        <v>5</v>
      </c>
    </row>
    <row r="1209" spans="1:3" x14ac:dyDescent="0.25">
      <c r="A1209" s="1" t="s">
        <v>20</v>
      </c>
      <c r="B1209" s="1">
        <v>115.2</v>
      </c>
      <c r="C1209" s="1">
        <v>4</v>
      </c>
    </row>
    <row r="1210" spans="1:3" x14ac:dyDescent="0.25">
      <c r="A1210" s="1" t="s">
        <v>21</v>
      </c>
      <c r="B1210" s="1">
        <v>109.6</v>
      </c>
      <c r="C1210" s="1">
        <v>2</v>
      </c>
    </row>
    <row r="1211" spans="1:3" x14ac:dyDescent="0.25">
      <c r="A1211" s="1" t="s">
        <v>19</v>
      </c>
      <c r="B1211" s="1">
        <v>28.75</v>
      </c>
      <c r="C1211" s="1">
        <v>1</v>
      </c>
    </row>
    <row r="1212" spans="1:3" x14ac:dyDescent="0.25">
      <c r="A1212" s="1" t="s">
        <v>28</v>
      </c>
      <c r="B1212" s="1">
        <v>38.4</v>
      </c>
      <c r="C1212" s="1">
        <v>1</v>
      </c>
    </row>
    <row r="1213" spans="1:3" x14ac:dyDescent="0.25">
      <c r="A1213" s="1" t="s">
        <v>9</v>
      </c>
      <c r="B1213" s="1">
        <v>54.8</v>
      </c>
      <c r="C1213" s="1">
        <v>1</v>
      </c>
    </row>
    <row r="1214" spans="1:3" x14ac:dyDescent="0.25">
      <c r="A1214" s="1" t="s">
        <v>17</v>
      </c>
      <c r="B1214" s="1">
        <v>307.2</v>
      </c>
      <c r="C1214" s="1">
        <v>8</v>
      </c>
    </row>
    <row r="1215" spans="1:3" x14ac:dyDescent="0.25">
      <c r="A1215" s="1" t="s">
        <v>15</v>
      </c>
      <c r="B1215" s="1">
        <v>68</v>
      </c>
      <c r="C1215" s="1">
        <v>1</v>
      </c>
    </row>
    <row r="1216" spans="1:3" x14ac:dyDescent="0.25">
      <c r="A1216" s="1" t="s">
        <v>16</v>
      </c>
      <c r="B1216" s="1">
        <v>105.6</v>
      </c>
      <c r="C1216" s="1">
        <v>3</v>
      </c>
    </row>
    <row r="1217" spans="1:3" x14ac:dyDescent="0.25">
      <c r="A1217" s="1" t="s">
        <v>51</v>
      </c>
      <c r="B1217" s="1">
        <v>38.4</v>
      </c>
      <c r="C1217" s="1">
        <v>1</v>
      </c>
    </row>
    <row r="1218" spans="1:3" x14ac:dyDescent="0.25">
      <c r="A1218" s="1" t="s">
        <v>52</v>
      </c>
      <c r="B1218" s="1">
        <v>128</v>
      </c>
      <c r="C1218" s="1">
        <v>2</v>
      </c>
    </row>
    <row r="1219" spans="1:3" x14ac:dyDescent="0.25">
      <c r="A1219" s="1" t="s">
        <v>49</v>
      </c>
      <c r="B1219" s="1">
        <v>200</v>
      </c>
      <c r="C1219" s="1">
        <v>5</v>
      </c>
    </row>
    <row r="1220" spans="1:3" x14ac:dyDescent="0.25">
      <c r="A1220" s="1" t="s">
        <v>6</v>
      </c>
      <c r="B1220" s="1">
        <v>54.8</v>
      </c>
      <c r="C1220" s="1">
        <v>1</v>
      </c>
    </row>
    <row r="1221" spans="1:3" x14ac:dyDescent="0.25">
      <c r="A1221" s="1" t="s">
        <v>18</v>
      </c>
      <c r="B1221" s="1">
        <v>115.2</v>
      </c>
      <c r="C1221" s="1">
        <v>3</v>
      </c>
    </row>
    <row r="1222" spans="1:3" x14ac:dyDescent="0.25">
      <c r="A1222" s="1" t="s">
        <v>56</v>
      </c>
      <c r="B1222" s="1">
        <v>76.8</v>
      </c>
      <c r="C1222" s="1">
        <v>2</v>
      </c>
    </row>
    <row r="1223" spans="1:3" x14ac:dyDescent="0.25">
      <c r="A1223" s="1" t="s">
        <v>8</v>
      </c>
      <c r="B1223" s="1">
        <v>54.8</v>
      </c>
      <c r="C1223" s="1">
        <v>1</v>
      </c>
    </row>
    <row r="1224" spans="1:3" x14ac:dyDescent="0.25">
      <c r="A1224" s="1" t="s">
        <v>55</v>
      </c>
      <c r="B1224" s="1">
        <v>38.4</v>
      </c>
      <c r="C1224" s="1">
        <v>1</v>
      </c>
    </row>
    <row r="1225" spans="1:3" x14ac:dyDescent="0.25">
      <c r="A1225" s="1" t="s">
        <v>12</v>
      </c>
      <c r="B1225" s="1">
        <v>35</v>
      </c>
      <c r="C1225" s="1">
        <v>1</v>
      </c>
    </row>
    <row r="1226" spans="1:3" x14ac:dyDescent="0.25">
      <c r="A1226" s="1" t="s">
        <v>44</v>
      </c>
      <c r="B1226" s="1">
        <v>38.4</v>
      </c>
      <c r="C1226" s="1">
        <v>1</v>
      </c>
    </row>
    <row r="1227" spans="1:3" x14ac:dyDescent="0.25">
      <c r="A1227" s="1" t="s">
        <v>45</v>
      </c>
      <c r="B1227" s="1">
        <v>28.75</v>
      </c>
      <c r="C1227" s="1">
        <v>1</v>
      </c>
    </row>
    <row r="1228" spans="1:3" x14ac:dyDescent="0.25">
      <c r="A1228" s="1" t="s">
        <v>115</v>
      </c>
      <c r="B1228" s="1"/>
      <c r="C1228" s="1"/>
    </row>
    <row r="1229" spans="1:3" x14ac:dyDescent="0.25">
      <c r="A1229" s="1" t="s">
        <v>1</v>
      </c>
      <c r="B1229" s="1">
        <v>106</v>
      </c>
      <c r="C1229" s="1"/>
    </row>
    <row r="1230" spans="1:3" x14ac:dyDescent="0.25">
      <c r="A1230" s="1" t="s">
        <v>2</v>
      </c>
      <c r="B1230" s="1">
        <v>4250.84</v>
      </c>
      <c r="C1230" s="1"/>
    </row>
    <row r="1231" spans="1:3" x14ac:dyDescent="0.25">
      <c r="A1231" s="1" t="s">
        <v>3</v>
      </c>
      <c r="B1231" s="1" t="s">
        <v>4</v>
      </c>
      <c r="C1231" s="1" t="s">
        <v>5</v>
      </c>
    </row>
    <row r="1232" spans="1:3" x14ac:dyDescent="0.25">
      <c r="A1232" s="1" t="s">
        <v>17</v>
      </c>
      <c r="B1232" s="1">
        <v>537.6</v>
      </c>
      <c r="C1232" s="1">
        <v>15</v>
      </c>
    </row>
    <row r="1233" spans="1:3" x14ac:dyDescent="0.25">
      <c r="A1233" s="1" t="s">
        <v>7</v>
      </c>
      <c r="B1233" s="1">
        <v>219.2</v>
      </c>
      <c r="C1233" s="1">
        <v>4</v>
      </c>
    </row>
    <row r="1234" spans="1:3" x14ac:dyDescent="0.25">
      <c r="A1234" s="1" t="s">
        <v>20</v>
      </c>
      <c r="B1234" s="1">
        <v>768</v>
      </c>
      <c r="C1234" s="1">
        <v>20</v>
      </c>
    </row>
    <row r="1235" spans="1:3" x14ac:dyDescent="0.25">
      <c r="A1235" s="1" t="s">
        <v>18</v>
      </c>
      <c r="B1235" s="1">
        <v>230.4</v>
      </c>
      <c r="C1235" s="1">
        <v>6</v>
      </c>
    </row>
    <row r="1236" spans="1:3" x14ac:dyDescent="0.25">
      <c r="A1236" s="1" t="s">
        <v>21</v>
      </c>
      <c r="B1236" s="1">
        <v>219.2</v>
      </c>
      <c r="C1236" s="1">
        <v>5</v>
      </c>
    </row>
    <row r="1237" spans="1:3" x14ac:dyDescent="0.25">
      <c r="A1237" s="1" t="s">
        <v>19</v>
      </c>
      <c r="B1237" s="1">
        <v>57.5</v>
      </c>
      <c r="C1237" s="1">
        <v>2</v>
      </c>
    </row>
    <row r="1238" spans="1:3" x14ac:dyDescent="0.25">
      <c r="A1238" s="1" t="s">
        <v>6</v>
      </c>
      <c r="B1238" s="1">
        <v>109.6</v>
      </c>
      <c r="C1238" s="1">
        <v>2</v>
      </c>
    </row>
    <row r="1239" spans="1:3" x14ac:dyDescent="0.25">
      <c r="A1239" s="1" t="s">
        <v>12</v>
      </c>
      <c r="B1239" s="1">
        <v>315</v>
      </c>
      <c r="C1239" s="1">
        <v>9</v>
      </c>
    </row>
    <row r="1240" spans="1:3" x14ac:dyDescent="0.25">
      <c r="A1240" s="1" t="s">
        <v>8</v>
      </c>
      <c r="B1240" s="1">
        <v>657.6</v>
      </c>
      <c r="C1240" s="1">
        <v>14</v>
      </c>
    </row>
    <row r="1241" spans="1:3" x14ac:dyDescent="0.25">
      <c r="A1241" s="1" t="s">
        <v>40</v>
      </c>
      <c r="B1241" s="1">
        <v>219.2</v>
      </c>
      <c r="C1241" s="1">
        <v>4</v>
      </c>
    </row>
    <row r="1242" spans="1:3" x14ac:dyDescent="0.25">
      <c r="A1242" s="1" t="s">
        <v>62</v>
      </c>
      <c r="B1242" s="1">
        <v>76.8</v>
      </c>
      <c r="C1242" s="1">
        <v>2</v>
      </c>
    </row>
    <row r="1243" spans="1:3" x14ac:dyDescent="0.25">
      <c r="A1243" s="1" t="s">
        <v>15</v>
      </c>
      <c r="B1243" s="1">
        <v>68</v>
      </c>
      <c r="C1243" s="1">
        <v>1</v>
      </c>
    </row>
    <row r="1244" spans="1:3" x14ac:dyDescent="0.25">
      <c r="A1244" s="1" t="s">
        <v>71</v>
      </c>
      <c r="B1244" s="1">
        <v>40</v>
      </c>
      <c r="C1244" s="1">
        <v>1</v>
      </c>
    </row>
    <row r="1245" spans="1:3" x14ac:dyDescent="0.25">
      <c r="A1245" s="1" t="s">
        <v>16</v>
      </c>
      <c r="B1245" s="1">
        <v>70.400000000000006</v>
      </c>
      <c r="C1245" s="1">
        <v>2</v>
      </c>
    </row>
    <row r="1246" spans="1:3" x14ac:dyDescent="0.25">
      <c r="A1246" s="1" t="s">
        <v>27</v>
      </c>
      <c r="B1246" s="1">
        <v>153.6</v>
      </c>
      <c r="C1246" s="1">
        <v>4</v>
      </c>
    </row>
    <row r="1247" spans="1:3" x14ac:dyDescent="0.25">
      <c r="A1247" s="1" t="s">
        <v>10</v>
      </c>
      <c r="B1247" s="1">
        <v>38.4</v>
      </c>
      <c r="C1247" s="1">
        <v>1</v>
      </c>
    </row>
    <row r="1248" spans="1:3" x14ac:dyDescent="0.25">
      <c r="A1248" s="1" t="s">
        <v>49</v>
      </c>
      <c r="B1248" s="1">
        <v>80</v>
      </c>
      <c r="C1248" s="1">
        <v>2</v>
      </c>
    </row>
    <row r="1249" spans="1:3" x14ac:dyDescent="0.25">
      <c r="A1249" s="1" t="s">
        <v>13</v>
      </c>
      <c r="B1249" s="1">
        <v>38.4</v>
      </c>
      <c r="C1249" s="1">
        <v>1</v>
      </c>
    </row>
    <row r="1250" spans="1:3" x14ac:dyDescent="0.25">
      <c r="A1250" s="1" t="s">
        <v>51</v>
      </c>
      <c r="B1250" s="1">
        <v>38.4</v>
      </c>
      <c r="C1250" s="1">
        <v>1</v>
      </c>
    </row>
    <row r="1251" spans="1:3" x14ac:dyDescent="0.25">
      <c r="A1251" s="1" t="s">
        <v>54</v>
      </c>
      <c r="B1251" s="1">
        <v>38.4</v>
      </c>
      <c r="C1251" s="1">
        <v>2</v>
      </c>
    </row>
    <row r="1252" spans="1:3" x14ac:dyDescent="0.25">
      <c r="A1252" s="1" t="s">
        <v>56</v>
      </c>
      <c r="B1252" s="1">
        <v>38.4</v>
      </c>
      <c r="C1252" s="1">
        <v>1</v>
      </c>
    </row>
    <row r="1253" spans="1:3" x14ac:dyDescent="0.25">
      <c r="A1253" s="1" t="s">
        <v>55</v>
      </c>
      <c r="B1253" s="1">
        <v>38.4</v>
      </c>
      <c r="C1253" s="1">
        <v>1</v>
      </c>
    </row>
    <row r="1254" spans="1:3" x14ac:dyDescent="0.25">
      <c r="A1254" s="1" t="s">
        <v>30</v>
      </c>
      <c r="B1254" s="1">
        <v>15.99</v>
      </c>
      <c r="C1254" s="1">
        <v>1</v>
      </c>
    </row>
    <row r="1255" spans="1:3" x14ac:dyDescent="0.25">
      <c r="A1255" s="1" t="s">
        <v>44</v>
      </c>
      <c r="B1255" s="1">
        <v>153.6</v>
      </c>
      <c r="C1255" s="1">
        <v>4</v>
      </c>
    </row>
    <row r="1256" spans="1:3" x14ac:dyDescent="0.25">
      <c r="A1256" s="1" t="s">
        <v>41</v>
      </c>
      <c r="B1256" s="1">
        <v>28.75</v>
      </c>
      <c r="C1256" s="1">
        <v>1</v>
      </c>
    </row>
    <row r="1257" spans="1:3" x14ac:dyDescent="0.25">
      <c r="A1257" s="1" t="s">
        <v>116</v>
      </c>
      <c r="B1257" s="1"/>
      <c r="C1257" s="1"/>
    </row>
    <row r="1258" spans="1:3" x14ac:dyDescent="0.25">
      <c r="A1258" s="1" t="s">
        <v>1</v>
      </c>
      <c r="B1258" s="1">
        <v>28</v>
      </c>
      <c r="C1258" s="1"/>
    </row>
    <row r="1259" spans="1:3" x14ac:dyDescent="0.25">
      <c r="A1259" s="1" t="s">
        <v>2</v>
      </c>
      <c r="B1259" s="1">
        <v>1212.6500000000001</v>
      </c>
      <c r="C1259" s="1"/>
    </row>
    <row r="1260" spans="1:3" x14ac:dyDescent="0.25">
      <c r="A1260" s="1" t="s">
        <v>3</v>
      </c>
      <c r="B1260" s="1" t="s">
        <v>4</v>
      </c>
      <c r="C1260" s="1" t="s">
        <v>5</v>
      </c>
    </row>
    <row r="1261" spans="1:3" x14ac:dyDescent="0.25">
      <c r="A1261" s="1" t="s">
        <v>12</v>
      </c>
      <c r="B1261" s="1">
        <v>70</v>
      </c>
      <c r="C1261" s="1">
        <v>2</v>
      </c>
    </row>
    <row r="1262" spans="1:3" x14ac:dyDescent="0.25">
      <c r="A1262" s="1" t="s">
        <v>61</v>
      </c>
      <c r="B1262" s="1">
        <v>64</v>
      </c>
      <c r="C1262" s="1">
        <v>1</v>
      </c>
    </row>
    <row r="1263" spans="1:3" x14ac:dyDescent="0.25">
      <c r="A1263" s="1" t="s">
        <v>18</v>
      </c>
      <c r="B1263" s="1">
        <v>76.8</v>
      </c>
      <c r="C1263" s="1">
        <v>2</v>
      </c>
    </row>
    <row r="1264" spans="1:3" x14ac:dyDescent="0.25">
      <c r="A1264" s="1" t="s">
        <v>8</v>
      </c>
      <c r="B1264" s="1">
        <v>164.4</v>
      </c>
      <c r="C1264" s="1">
        <v>3</v>
      </c>
    </row>
    <row r="1265" spans="1:3" x14ac:dyDescent="0.25">
      <c r="A1265" s="1" t="s">
        <v>17</v>
      </c>
      <c r="B1265" s="1">
        <v>76.8</v>
      </c>
      <c r="C1265" s="1">
        <v>2</v>
      </c>
    </row>
    <row r="1266" spans="1:3" x14ac:dyDescent="0.25">
      <c r="A1266" s="1" t="s">
        <v>7</v>
      </c>
      <c r="B1266" s="1">
        <v>54.8</v>
      </c>
      <c r="C1266" s="1">
        <v>1</v>
      </c>
    </row>
    <row r="1267" spans="1:3" x14ac:dyDescent="0.25">
      <c r="A1267" s="1" t="s">
        <v>20</v>
      </c>
      <c r="B1267" s="1">
        <v>115.2</v>
      </c>
      <c r="C1267" s="1">
        <v>3</v>
      </c>
    </row>
    <row r="1268" spans="1:3" x14ac:dyDescent="0.25">
      <c r="A1268" s="1" t="s">
        <v>21</v>
      </c>
      <c r="B1268" s="1">
        <v>219.2</v>
      </c>
      <c r="C1268" s="1">
        <v>4</v>
      </c>
    </row>
    <row r="1269" spans="1:3" x14ac:dyDescent="0.25">
      <c r="A1269" s="1" t="s">
        <v>57</v>
      </c>
      <c r="B1269" s="1">
        <v>40</v>
      </c>
      <c r="C1269" s="1">
        <v>1</v>
      </c>
    </row>
    <row r="1270" spans="1:3" x14ac:dyDescent="0.25">
      <c r="A1270" s="1" t="s">
        <v>49</v>
      </c>
      <c r="B1270" s="1">
        <v>40</v>
      </c>
      <c r="C1270" s="1">
        <v>1</v>
      </c>
    </row>
    <row r="1271" spans="1:3" x14ac:dyDescent="0.25">
      <c r="A1271" s="1" t="s">
        <v>36</v>
      </c>
      <c r="B1271" s="1">
        <v>38.4</v>
      </c>
      <c r="C1271" s="1">
        <v>1</v>
      </c>
    </row>
    <row r="1272" spans="1:3" x14ac:dyDescent="0.25">
      <c r="A1272" s="1" t="s">
        <v>13</v>
      </c>
      <c r="B1272" s="1">
        <v>76.8</v>
      </c>
      <c r="C1272" s="1">
        <v>2</v>
      </c>
    </row>
    <row r="1273" spans="1:3" x14ac:dyDescent="0.25">
      <c r="A1273" s="1" t="s">
        <v>16</v>
      </c>
      <c r="B1273" s="1">
        <v>35.200000000000003</v>
      </c>
      <c r="C1273" s="1">
        <v>1</v>
      </c>
    </row>
    <row r="1274" spans="1:3" x14ac:dyDescent="0.25">
      <c r="A1274" s="1" t="s">
        <v>45</v>
      </c>
      <c r="B1274" s="1">
        <v>28.75</v>
      </c>
      <c r="C1274" s="1">
        <v>1</v>
      </c>
    </row>
    <row r="1275" spans="1:3" x14ac:dyDescent="0.25">
      <c r="A1275" s="1" t="s">
        <v>41</v>
      </c>
      <c r="B1275" s="1">
        <v>57.5</v>
      </c>
      <c r="C1275" s="1">
        <v>2</v>
      </c>
    </row>
    <row r="1276" spans="1:3" x14ac:dyDescent="0.25">
      <c r="A1276" s="1" t="s">
        <v>40</v>
      </c>
      <c r="B1276" s="1">
        <v>54.8</v>
      </c>
      <c r="C1276" s="1">
        <v>1</v>
      </c>
    </row>
    <row r="1277" spans="1:3" x14ac:dyDescent="0.25">
      <c r="A1277" s="1" t="s">
        <v>117</v>
      </c>
      <c r="B1277" s="1"/>
      <c r="C1277" s="1"/>
    </row>
    <row r="1278" spans="1:3" x14ac:dyDescent="0.25">
      <c r="A1278" s="1" t="s">
        <v>1</v>
      </c>
      <c r="B1278" s="1">
        <v>125</v>
      </c>
      <c r="C1278" s="1"/>
    </row>
    <row r="1279" spans="1:3" x14ac:dyDescent="0.25">
      <c r="A1279" s="1" t="s">
        <v>2</v>
      </c>
      <c r="B1279" s="1">
        <v>5050.88</v>
      </c>
      <c r="C1279" s="1"/>
    </row>
    <row r="1280" spans="1:3" x14ac:dyDescent="0.25">
      <c r="A1280" s="1" t="s">
        <v>3</v>
      </c>
      <c r="B1280" s="1" t="s">
        <v>4</v>
      </c>
      <c r="C1280" s="1" t="s">
        <v>5</v>
      </c>
    </row>
    <row r="1281" spans="1:3" x14ac:dyDescent="0.25">
      <c r="A1281" s="1" t="s">
        <v>16</v>
      </c>
      <c r="B1281" s="1">
        <v>105.6</v>
      </c>
      <c r="C1281" s="1">
        <v>3</v>
      </c>
    </row>
    <row r="1282" spans="1:3" x14ac:dyDescent="0.25">
      <c r="A1282" s="1" t="s">
        <v>17</v>
      </c>
      <c r="B1282" s="1">
        <v>499.2</v>
      </c>
      <c r="C1282" s="1">
        <v>13</v>
      </c>
    </row>
    <row r="1283" spans="1:3" x14ac:dyDescent="0.25">
      <c r="A1283" s="1" t="s">
        <v>40</v>
      </c>
      <c r="B1283" s="1">
        <v>328.8</v>
      </c>
      <c r="C1283" s="1">
        <v>6</v>
      </c>
    </row>
    <row r="1284" spans="1:3" x14ac:dyDescent="0.25">
      <c r="A1284" s="1" t="s">
        <v>21</v>
      </c>
      <c r="B1284" s="1">
        <v>274</v>
      </c>
      <c r="C1284" s="1">
        <v>5</v>
      </c>
    </row>
    <row r="1285" spans="1:3" x14ac:dyDescent="0.25">
      <c r="A1285" s="1" t="s">
        <v>12</v>
      </c>
      <c r="B1285" s="1">
        <v>385</v>
      </c>
      <c r="C1285" s="1">
        <v>12</v>
      </c>
    </row>
    <row r="1286" spans="1:3" x14ac:dyDescent="0.25">
      <c r="A1286" s="1" t="s">
        <v>9</v>
      </c>
      <c r="B1286" s="1">
        <v>328.8</v>
      </c>
      <c r="C1286" s="1">
        <v>6</v>
      </c>
    </row>
    <row r="1287" spans="1:3" x14ac:dyDescent="0.25">
      <c r="A1287" s="1" t="s">
        <v>51</v>
      </c>
      <c r="B1287" s="1">
        <v>76.8</v>
      </c>
      <c r="C1287" s="1">
        <v>3</v>
      </c>
    </row>
    <row r="1288" spans="1:3" x14ac:dyDescent="0.25">
      <c r="A1288" s="1" t="s">
        <v>52</v>
      </c>
      <c r="B1288" s="1">
        <v>64</v>
      </c>
      <c r="C1288" s="1">
        <v>1</v>
      </c>
    </row>
    <row r="1289" spans="1:3" x14ac:dyDescent="0.25">
      <c r="A1289" s="1" t="s">
        <v>14</v>
      </c>
      <c r="B1289" s="1">
        <v>86.25</v>
      </c>
      <c r="C1289" s="1">
        <v>3</v>
      </c>
    </row>
    <row r="1290" spans="1:3" x14ac:dyDescent="0.25">
      <c r="A1290" s="1" t="s">
        <v>18</v>
      </c>
      <c r="B1290" s="1">
        <v>268.8</v>
      </c>
      <c r="C1290" s="1">
        <v>7</v>
      </c>
    </row>
    <row r="1291" spans="1:3" x14ac:dyDescent="0.25">
      <c r="A1291" s="1" t="s">
        <v>20</v>
      </c>
      <c r="B1291" s="1">
        <v>268.8</v>
      </c>
      <c r="C1291" s="1">
        <v>7</v>
      </c>
    </row>
    <row r="1292" spans="1:3" x14ac:dyDescent="0.25">
      <c r="A1292" s="1" t="s">
        <v>35</v>
      </c>
      <c r="B1292" s="1">
        <v>38.4</v>
      </c>
      <c r="C1292" s="1">
        <v>1</v>
      </c>
    </row>
    <row r="1293" spans="1:3" x14ac:dyDescent="0.25">
      <c r="A1293" s="1" t="s">
        <v>19</v>
      </c>
      <c r="B1293" s="1">
        <v>28.75</v>
      </c>
      <c r="C1293" s="1">
        <v>1</v>
      </c>
    </row>
    <row r="1294" spans="1:3" x14ac:dyDescent="0.25">
      <c r="A1294" s="1" t="s">
        <v>49</v>
      </c>
      <c r="B1294" s="1">
        <v>120</v>
      </c>
      <c r="C1294" s="1">
        <v>3</v>
      </c>
    </row>
    <row r="1295" spans="1:3" x14ac:dyDescent="0.25">
      <c r="A1295" s="1" t="s">
        <v>13</v>
      </c>
      <c r="B1295" s="1">
        <v>76.8</v>
      </c>
      <c r="C1295" s="1">
        <v>2</v>
      </c>
    </row>
    <row r="1296" spans="1:3" x14ac:dyDescent="0.25">
      <c r="A1296" s="1" t="s">
        <v>8</v>
      </c>
      <c r="B1296" s="1">
        <v>219.2</v>
      </c>
      <c r="C1296" s="1">
        <v>4</v>
      </c>
    </row>
    <row r="1297" spans="1:3" x14ac:dyDescent="0.25">
      <c r="A1297" s="1" t="s">
        <v>10</v>
      </c>
      <c r="B1297" s="1">
        <v>115.2</v>
      </c>
      <c r="C1297" s="1">
        <v>3</v>
      </c>
    </row>
    <row r="1298" spans="1:3" x14ac:dyDescent="0.25">
      <c r="A1298" s="1" t="s">
        <v>7</v>
      </c>
      <c r="B1298" s="1">
        <v>274</v>
      </c>
      <c r="C1298" s="1">
        <v>5</v>
      </c>
    </row>
    <row r="1299" spans="1:3" x14ac:dyDescent="0.25">
      <c r="A1299" s="1" t="s">
        <v>32</v>
      </c>
      <c r="B1299" s="1">
        <v>38.4</v>
      </c>
      <c r="C1299" s="1">
        <v>1</v>
      </c>
    </row>
    <row r="1300" spans="1:3" x14ac:dyDescent="0.25">
      <c r="A1300" s="1" t="s">
        <v>27</v>
      </c>
      <c r="B1300" s="1">
        <v>192</v>
      </c>
      <c r="C1300" s="1">
        <v>6</v>
      </c>
    </row>
    <row r="1301" spans="1:3" x14ac:dyDescent="0.25">
      <c r="A1301" s="1" t="s">
        <v>53</v>
      </c>
      <c r="B1301" s="1">
        <v>28.75</v>
      </c>
      <c r="C1301" s="1">
        <v>1</v>
      </c>
    </row>
    <row r="1302" spans="1:3" x14ac:dyDescent="0.25">
      <c r="A1302" s="1" t="s">
        <v>34</v>
      </c>
      <c r="B1302" s="1">
        <v>64</v>
      </c>
      <c r="C1302" s="1">
        <v>1</v>
      </c>
    </row>
    <row r="1303" spans="1:3" x14ac:dyDescent="0.25">
      <c r="A1303" s="1" t="s">
        <v>25</v>
      </c>
      <c r="B1303" s="1">
        <v>40</v>
      </c>
      <c r="C1303" s="1">
        <v>1</v>
      </c>
    </row>
    <row r="1304" spans="1:3" x14ac:dyDescent="0.25">
      <c r="A1304" s="1" t="s">
        <v>6</v>
      </c>
      <c r="B1304" s="1">
        <v>164.4</v>
      </c>
      <c r="C1304" s="1">
        <v>3</v>
      </c>
    </row>
    <row r="1305" spans="1:3" x14ac:dyDescent="0.25">
      <c r="A1305" s="1" t="s">
        <v>33</v>
      </c>
      <c r="B1305" s="1">
        <v>160</v>
      </c>
      <c r="C1305" s="1">
        <v>4</v>
      </c>
    </row>
    <row r="1306" spans="1:3" x14ac:dyDescent="0.25">
      <c r="A1306" s="1" t="s">
        <v>65</v>
      </c>
      <c r="B1306" s="1">
        <v>49.95</v>
      </c>
      <c r="C1306" s="1">
        <v>1</v>
      </c>
    </row>
    <row r="1307" spans="1:3" x14ac:dyDescent="0.25">
      <c r="A1307" s="1" t="s">
        <v>22</v>
      </c>
      <c r="B1307" s="1">
        <v>109.6</v>
      </c>
      <c r="C1307" s="1">
        <v>2</v>
      </c>
    </row>
    <row r="1308" spans="1:3" x14ac:dyDescent="0.25">
      <c r="A1308" s="1" t="s">
        <v>30</v>
      </c>
      <c r="B1308" s="1">
        <v>31.98</v>
      </c>
      <c r="C1308" s="1">
        <v>2</v>
      </c>
    </row>
    <row r="1309" spans="1:3" x14ac:dyDescent="0.25">
      <c r="A1309" s="1" t="s">
        <v>55</v>
      </c>
      <c r="B1309" s="1">
        <v>76.8</v>
      </c>
      <c r="C1309" s="1">
        <v>2</v>
      </c>
    </row>
    <row r="1310" spans="1:3" x14ac:dyDescent="0.25">
      <c r="A1310" s="1" t="s">
        <v>56</v>
      </c>
      <c r="B1310" s="1">
        <v>76.8</v>
      </c>
      <c r="C1310" s="1">
        <v>2</v>
      </c>
    </row>
    <row r="1311" spans="1:3" x14ac:dyDescent="0.25">
      <c r="A1311" s="1" t="s">
        <v>41</v>
      </c>
      <c r="B1311" s="1">
        <v>86.25</v>
      </c>
      <c r="C1311" s="1">
        <v>3</v>
      </c>
    </row>
    <row r="1312" spans="1:3" x14ac:dyDescent="0.25">
      <c r="A1312" s="1" t="s">
        <v>67</v>
      </c>
      <c r="B1312" s="1">
        <v>49.95</v>
      </c>
      <c r="C1312" s="1">
        <v>1</v>
      </c>
    </row>
    <row r="1313" spans="1:3" x14ac:dyDescent="0.25">
      <c r="A1313" s="1" t="s">
        <v>37</v>
      </c>
      <c r="B1313" s="1">
        <v>54.8</v>
      </c>
      <c r="C1313" s="1">
        <v>1</v>
      </c>
    </row>
    <row r="1314" spans="1:3" x14ac:dyDescent="0.25">
      <c r="A1314" s="1" t="s">
        <v>62</v>
      </c>
      <c r="B1314" s="1">
        <v>192</v>
      </c>
      <c r="C1314" s="1">
        <v>5</v>
      </c>
    </row>
    <row r="1315" spans="1:3" x14ac:dyDescent="0.25">
      <c r="A1315" s="1" t="s">
        <v>44</v>
      </c>
      <c r="B1315" s="1">
        <v>76.8</v>
      </c>
      <c r="C1315" s="1">
        <v>4</v>
      </c>
    </row>
    <row r="1316" spans="1:3" x14ac:dyDescent="0.25">
      <c r="A1316" s="1" t="s">
        <v>118</v>
      </c>
      <c r="B1316" s="1"/>
      <c r="C1316" s="1"/>
    </row>
    <row r="1317" spans="1:3" x14ac:dyDescent="0.25">
      <c r="A1317" s="1" t="s">
        <v>1</v>
      </c>
      <c r="B1317" s="1">
        <v>39</v>
      </c>
      <c r="C1317" s="1"/>
    </row>
    <row r="1318" spans="1:3" x14ac:dyDescent="0.25">
      <c r="A1318" s="1" t="s">
        <v>2</v>
      </c>
      <c r="B1318" s="1">
        <v>1558.4</v>
      </c>
      <c r="C1318" s="1"/>
    </row>
    <row r="1319" spans="1:3" x14ac:dyDescent="0.25">
      <c r="A1319" s="1" t="s">
        <v>3</v>
      </c>
      <c r="B1319" s="1" t="s">
        <v>4</v>
      </c>
      <c r="C1319" s="1" t="s">
        <v>5</v>
      </c>
    </row>
    <row r="1320" spans="1:3" x14ac:dyDescent="0.25">
      <c r="A1320" s="1" t="s">
        <v>8</v>
      </c>
      <c r="B1320" s="1">
        <v>383.6</v>
      </c>
      <c r="C1320" s="1">
        <v>8</v>
      </c>
    </row>
    <row r="1321" spans="1:3" x14ac:dyDescent="0.25">
      <c r="A1321" s="1" t="s">
        <v>17</v>
      </c>
      <c r="B1321" s="1">
        <v>268.8</v>
      </c>
      <c r="C1321" s="1">
        <v>7</v>
      </c>
    </row>
    <row r="1322" spans="1:3" x14ac:dyDescent="0.25">
      <c r="A1322" s="1" t="s">
        <v>20</v>
      </c>
      <c r="B1322" s="1">
        <v>345.6</v>
      </c>
      <c r="C1322" s="1">
        <v>11</v>
      </c>
    </row>
    <row r="1323" spans="1:3" x14ac:dyDescent="0.25">
      <c r="A1323" s="1" t="s">
        <v>7</v>
      </c>
      <c r="B1323" s="1">
        <v>54.8</v>
      </c>
      <c r="C1323" s="1">
        <v>1</v>
      </c>
    </row>
    <row r="1324" spans="1:3" x14ac:dyDescent="0.25">
      <c r="A1324" s="1" t="s">
        <v>21</v>
      </c>
      <c r="B1324" s="1">
        <v>54.8</v>
      </c>
      <c r="C1324" s="1">
        <v>1</v>
      </c>
    </row>
    <row r="1325" spans="1:3" x14ac:dyDescent="0.25">
      <c r="A1325" s="1" t="s">
        <v>40</v>
      </c>
      <c r="B1325" s="1">
        <v>54.8</v>
      </c>
      <c r="C1325" s="1">
        <v>1</v>
      </c>
    </row>
    <row r="1326" spans="1:3" x14ac:dyDescent="0.25">
      <c r="A1326" s="1" t="s">
        <v>18</v>
      </c>
      <c r="B1326" s="1">
        <v>38.4</v>
      </c>
      <c r="C1326" s="1">
        <v>1</v>
      </c>
    </row>
    <row r="1327" spans="1:3" x14ac:dyDescent="0.25">
      <c r="A1327" s="1" t="s">
        <v>25</v>
      </c>
      <c r="B1327" s="1">
        <v>40</v>
      </c>
      <c r="C1327" s="1">
        <v>1</v>
      </c>
    </row>
    <row r="1328" spans="1:3" x14ac:dyDescent="0.25">
      <c r="A1328" s="1" t="s">
        <v>12</v>
      </c>
      <c r="B1328" s="1">
        <v>140</v>
      </c>
      <c r="C1328" s="1">
        <v>4</v>
      </c>
    </row>
    <row r="1329" spans="1:3" x14ac:dyDescent="0.25">
      <c r="A1329" s="1" t="s">
        <v>61</v>
      </c>
      <c r="B1329" s="1">
        <v>64</v>
      </c>
      <c r="C1329" s="1">
        <v>1</v>
      </c>
    </row>
    <row r="1330" spans="1:3" x14ac:dyDescent="0.25">
      <c r="A1330" s="1" t="s">
        <v>54</v>
      </c>
      <c r="B1330" s="1">
        <v>38.4</v>
      </c>
      <c r="C1330" s="1">
        <v>1</v>
      </c>
    </row>
    <row r="1331" spans="1:3" x14ac:dyDescent="0.25">
      <c r="A1331" s="1" t="s">
        <v>16</v>
      </c>
      <c r="B1331" s="1">
        <v>35.200000000000003</v>
      </c>
      <c r="C1331" s="1">
        <v>1</v>
      </c>
    </row>
    <row r="1332" spans="1:3" x14ac:dyDescent="0.25">
      <c r="A1332" s="1" t="s">
        <v>49</v>
      </c>
      <c r="B1332" s="1">
        <v>40</v>
      </c>
      <c r="C1332" s="1">
        <v>1</v>
      </c>
    </row>
    <row r="1333" spans="1:3" x14ac:dyDescent="0.25">
      <c r="A1333" s="1" t="s">
        <v>119</v>
      </c>
      <c r="B1333" s="1"/>
      <c r="C1333" s="1"/>
    </row>
    <row r="1334" spans="1:3" x14ac:dyDescent="0.25">
      <c r="A1334" s="1" t="s">
        <v>1</v>
      </c>
      <c r="B1334" s="1">
        <v>210</v>
      </c>
      <c r="C1334" s="1"/>
    </row>
    <row r="1335" spans="1:3" x14ac:dyDescent="0.25">
      <c r="A1335" s="1" t="s">
        <v>2</v>
      </c>
      <c r="B1335" s="1">
        <v>8934.48</v>
      </c>
      <c r="C1335" s="1"/>
    </row>
    <row r="1336" spans="1:3" x14ac:dyDescent="0.25">
      <c r="A1336" s="1" t="s">
        <v>3</v>
      </c>
      <c r="B1336" s="1" t="s">
        <v>4</v>
      </c>
      <c r="C1336" s="1" t="s">
        <v>5</v>
      </c>
    </row>
    <row r="1337" spans="1:3" x14ac:dyDescent="0.25">
      <c r="A1337" s="1" t="s">
        <v>15</v>
      </c>
      <c r="B1337" s="1">
        <v>748</v>
      </c>
      <c r="C1337" s="1">
        <v>12</v>
      </c>
    </row>
    <row r="1338" spans="1:3" x14ac:dyDescent="0.25">
      <c r="A1338" s="1" t="s">
        <v>21</v>
      </c>
      <c r="B1338" s="1">
        <v>438.4</v>
      </c>
      <c r="C1338" s="1">
        <v>8</v>
      </c>
    </row>
    <row r="1339" spans="1:3" x14ac:dyDescent="0.25">
      <c r="A1339" s="1" t="s">
        <v>8</v>
      </c>
      <c r="B1339" s="1">
        <v>931.6</v>
      </c>
      <c r="C1339" s="1">
        <v>19</v>
      </c>
    </row>
    <row r="1340" spans="1:3" x14ac:dyDescent="0.25">
      <c r="A1340" s="1" t="s">
        <v>52</v>
      </c>
      <c r="B1340" s="1">
        <v>192</v>
      </c>
      <c r="C1340" s="1">
        <v>3</v>
      </c>
    </row>
    <row r="1341" spans="1:3" x14ac:dyDescent="0.25">
      <c r="A1341" s="1" t="s">
        <v>20</v>
      </c>
      <c r="B1341" s="1">
        <v>1228.8</v>
      </c>
      <c r="C1341" s="1">
        <v>32</v>
      </c>
    </row>
    <row r="1342" spans="1:3" x14ac:dyDescent="0.25">
      <c r="A1342" s="1" t="s">
        <v>33</v>
      </c>
      <c r="B1342" s="1">
        <v>520</v>
      </c>
      <c r="C1342" s="1">
        <v>13</v>
      </c>
    </row>
    <row r="1343" spans="1:3" x14ac:dyDescent="0.25">
      <c r="A1343" s="1" t="s">
        <v>57</v>
      </c>
      <c r="B1343" s="1">
        <v>40</v>
      </c>
      <c r="C1343" s="1">
        <v>1</v>
      </c>
    </row>
    <row r="1344" spans="1:3" x14ac:dyDescent="0.25">
      <c r="A1344" s="1" t="s">
        <v>71</v>
      </c>
      <c r="B1344" s="1">
        <v>40</v>
      </c>
      <c r="C1344" s="1">
        <v>1</v>
      </c>
    </row>
    <row r="1345" spans="1:3" x14ac:dyDescent="0.25">
      <c r="A1345" s="1" t="s">
        <v>18</v>
      </c>
      <c r="B1345" s="1">
        <v>768</v>
      </c>
      <c r="C1345" s="1">
        <v>20</v>
      </c>
    </row>
    <row r="1346" spans="1:3" x14ac:dyDescent="0.25">
      <c r="A1346" s="1" t="s">
        <v>59</v>
      </c>
      <c r="B1346" s="1">
        <v>240</v>
      </c>
      <c r="C1346" s="1">
        <v>6</v>
      </c>
    </row>
    <row r="1347" spans="1:3" x14ac:dyDescent="0.25">
      <c r="A1347" s="1" t="s">
        <v>7</v>
      </c>
      <c r="B1347" s="1">
        <v>328.8</v>
      </c>
      <c r="C1347" s="1">
        <v>6</v>
      </c>
    </row>
    <row r="1348" spans="1:3" x14ac:dyDescent="0.25">
      <c r="A1348" s="1" t="s">
        <v>14</v>
      </c>
      <c r="B1348" s="1">
        <v>28.75</v>
      </c>
      <c r="C1348" s="1">
        <v>1</v>
      </c>
    </row>
    <row r="1349" spans="1:3" x14ac:dyDescent="0.25">
      <c r="A1349" s="1" t="s">
        <v>12</v>
      </c>
      <c r="B1349" s="1">
        <v>490</v>
      </c>
      <c r="C1349" s="1">
        <v>14</v>
      </c>
    </row>
    <row r="1350" spans="1:3" x14ac:dyDescent="0.25">
      <c r="A1350" s="1" t="s">
        <v>49</v>
      </c>
      <c r="B1350" s="1">
        <v>400</v>
      </c>
      <c r="C1350" s="1">
        <v>10</v>
      </c>
    </row>
    <row r="1351" spans="1:3" x14ac:dyDescent="0.25">
      <c r="A1351" s="1" t="s">
        <v>51</v>
      </c>
      <c r="B1351" s="1">
        <v>38.4</v>
      </c>
      <c r="C1351" s="1">
        <v>1</v>
      </c>
    </row>
    <row r="1352" spans="1:3" x14ac:dyDescent="0.25">
      <c r="A1352" s="1" t="s">
        <v>19</v>
      </c>
      <c r="B1352" s="1">
        <v>86.25</v>
      </c>
      <c r="C1352" s="1">
        <v>3</v>
      </c>
    </row>
    <row r="1353" spans="1:3" x14ac:dyDescent="0.25">
      <c r="A1353" s="1" t="s">
        <v>17</v>
      </c>
      <c r="B1353" s="1">
        <v>307.2</v>
      </c>
      <c r="C1353" s="1">
        <v>8</v>
      </c>
    </row>
    <row r="1354" spans="1:3" x14ac:dyDescent="0.25">
      <c r="A1354" s="1" t="s">
        <v>26</v>
      </c>
      <c r="B1354" s="1">
        <v>112.5</v>
      </c>
      <c r="C1354" s="1">
        <v>3</v>
      </c>
    </row>
    <row r="1355" spans="1:3" x14ac:dyDescent="0.25">
      <c r="A1355" s="1" t="s">
        <v>40</v>
      </c>
      <c r="B1355" s="1">
        <v>548</v>
      </c>
      <c r="C1355" s="1">
        <v>10</v>
      </c>
    </row>
    <row r="1356" spans="1:3" x14ac:dyDescent="0.25">
      <c r="A1356" s="1" t="s">
        <v>10</v>
      </c>
      <c r="B1356" s="1">
        <v>115.2</v>
      </c>
      <c r="C1356" s="1">
        <v>3</v>
      </c>
    </row>
    <row r="1357" spans="1:3" x14ac:dyDescent="0.25">
      <c r="A1357" s="1" t="s">
        <v>30</v>
      </c>
      <c r="B1357" s="1">
        <v>31.98</v>
      </c>
      <c r="C1357" s="1">
        <v>2</v>
      </c>
    </row>
    <row r="1358" spans="1:3" x14ac:dyDescent="0.25">
      <c r="A1358" s="1" t="s">
        <v>62</v>
      </c>
      <c r="B1358" s="1">
        <v>76.8</v>
      </c>
      <c r="C1358" s="1">
        <v>2</v>
      </c>
    </row>
    <row r="1359" spans="1:3" x14ac:dyDescent="0.25">
      <c r="A1359" s="1" t="s">
        <v>16</v>
      </c>
      <c r="B1359" s="1">
        <v>281.60000000000002</v>
      </c>
      <c r="C1359" s="1">
        <v>9</v>
      </c>
    </row>
    <row r="1360" spans="1:3" x14ac:dyDescent="0.25">
      <c r="A1360" s="1" t="s">
        <v>9</v>
      </c>
      <c r="B1360" s="1">
        <v>54.8</v>
      </c>
      <c r="C1360" s="1">
        <v>1</v>
      </c>
    </row>
    <row r="1361" spans="1:3" x14ac:dyDescent="0.25">
      <c r="A1361" s="1" t="s">
        <v>36</v>
      </c>
      <c r="B1361" s="1">
        <v>76.8</v>
      </c>
      <c r="C1361" s="1">
        <v>2</v>
      </c>
    </row>
    <row r="1362" spans="1:3" x14ac:dyDescent="0.25">
      <c r="A1362" s="1" t="s">
        <v>38</v>
      </c>
      <c r="B1362" s="1">
        <v>64</v>
      </c>
      <c r="C1362" s="1">
        <v>1</v>
      </c>
    </row>
    <row r="1363" spans="1:3" x14ac:dyDescent="0.25">
      <c r="A1363" s="1" t="s">
        <v>34</v>
      </c>
      <c r="B1363" s="1">
        <v>192</v>
      </c>
      <c r="C1363" s="1">
        <v>4</v>
      </c>
    </row>
    <row r="1364" spans="1:3" x14ac:dyDescent="0.25">
      <c r="A1364" s="1" t="s">
        <v>37</v>
      </c>
      <c r="B1364" s="1">
        <v>54.8</v>
      </c>
      <c r="C1364" s="1">
        <v>1</v>
      </c>
    </row>
    <row r="1365" spans="1:3" x14ac:dyDescent="0.25">
      <c r="A1365" s="1" t="s">
        <v>56</v>
      </c>
      <c r="B1365" s="1">
        <v>38.4</v>
      </c>
      <c r="C1365" s="1">
        <v>1</v>
      </c>
    </row>
    <row r="1366" spans="1:3" x14ac:dyDescent="0.25">
      <c r="A1366" s="1" t="s">
        <v>27</v>
      </c>
      <c r="B1366" s="1">
        <v>38.4</v>
      </c>
      <c r="C1366" s="1">
        <v>1</v>
      </c>
    </row>
    <row r="1367" spans="1:3" x14ac:dyDescent="0.25">
      <c r="A1367" s="1" t="s">
        <v>54</v>
      </c>
      <c r="B1367" s="1">
        <v>76.8</v>
      </c>
      <c r="C1367" s="1">
        <v>2</v>
      </c>
    </row>
    <row r="1368" spans="1:3" x14ac:dyDescent="0.25">
      <c r="A1368" s="1" t="s">
        <v>55</v>
      </c>
      <c r="B1368" s="1">
        <v>76.8</v>
      </c>
      <c r="C1368" s="1">
        <v>3</v>
      </c>
    </row>
    <row r="1369" spans="1:3" x14ac:dyDescent="0.25">
      <c r="A1369" s="1" t="s">
        <v>22</v>
      </c>
      <c r="B1369" s="1">
        <v>54.8</v>
      </c>
      <c r="C1369" s="1">
        <v>1</v>
      </c>
    </row>
    <row r="1370" spans="1:3" x14ac:dyDescent="0.25">
      <c r="A1370" s="1" t="s">
        <v>67</v>
      </c>
      <c r="B1370" s="1">
        <v>49.95</v>
      </c>
      <c r="C1370" s="1">
        <v>1</v>
      </c>
    </row>
    <row r="1371" spans="1:3" x14ac:dyDescent="0.25">
      <c r="A1371" s="1" t="s">
        <v>41</v>
      </c>
      <c r="B1371" s="1">
        <v>28.75</v>
      </c>
      <c r="C1371" s="1">
        <v>1</v>
      </c>
    </row>
    <row r="1372" spans="1:3" x14ac:dyDescent="0.25">
      <c r="A1372" s="1" t="s">
        <v>39</v>
      </c>
      <c r="B1372" s="1">
        <v>40</v>
      </c>
      <c r="C1372" s="1">
        <v>1</v>
      </c>
    </row>
    <row r="1373" spans="1:3" x14ac:dyDescent="0.25">
      <c r="A1373" s="1" t="s">
        <v>44</v>
      </c>
      <c r="B1373" s="1">
        <v>38.4</v>
      </c>
      <c r="C1373" s="1">
        <v>1</v>
      </c>
    </row>
    <row r="1374" spans="1:3" x14ac:dyDescent="0.25">
      <c r="A1374" s="1" t="s">
        <v>45</v>
      </c>
      <c r="B1374" s="1">
        <v>57.5</v>
      </c>
      <c r="C1374" s="1">
        <v>2</v>
      </c>
    </row>
    <row r="1375" spans="1:3" x14ac:dyDescent="0.25">
      <c r="A1375" s="1" t="s">
        <v>120</v>
      </c>
      <c r="B1375" s="1"/>
      <c r="C1375" s="1"/>
    </row>
    <row r="1376" spans="1:3" x14ac:dyDescent="0.25">
      <c r="A1376" s="1" t="s">
        <v>1</v>
      </c>
      <c r="B1376" s="1">
        <v>70</v>
      </c>
      <c r="C1376" s="1"/>
    </row>
    <row r="1377" spans="1:3" x14ac:dyDescent="0.25">
      <c r="A1377" s="1" t="s">
        <v>2</v>
      </c>
      <c r="B1377" s="1">
        <v>2591.4499999999998</v>
      </c>
      <c r="C1377" s="1"/>
    </row>
    <row r="1378" spans="1:3" x14ac:dyDescent="0.25">
      <c r="A1378" s="1" t="s">
        <v>3</v>
      </c>
      <c r="B1378" s="1" t="s">
        <v>4</v>
      </c>
      <c r="C1378" s="1" t="s">
        <v>5</v>
      </c>
    </row>
    <row r="1379" spans="1:3" x14ac:dyDescent="0.25">
      <c r="A1379" s="1" t="s">
        <v>18</v>
      </c>
      <c r="B1379" s="1">
        <v>307.2</v>
      </c>
      <c r="C1379" s="1">
        <v>8</v>
      </c>
    </row>
    <row r="1380" spans="1:3" x14ac:dyDescent="0.25">
      <c r="A1380" s="1" t="s">
        <v>21</v>
      </c>
      <c r="B1380" s="1">
        <v>164.4</v>
      </c>
      <c r="C1380" s="1">
        <v>4</v>
      </c>
    </row>
    <row r="1381" spans="1:3" x14ac:dyDescent="0.25">
      <c r="A1381" s="1" t="s">
        <v>17</v>
      </c>
      <c r="B1381" s="1">
        <v>422.4</v>
      </c>
      <c r="C1381" s="1">
        <v>14</v>
      </c>
    </row>
    <row r="1382" spans="1:3" x14ac:dyDescent="0.25">
      <c r="A1382" s="1" t="s">
        <v>33</v>
      </c>
      <c r="B1382" s="1">
        <v>40</v>
      </c>
      <c r="C1382" s="1">
        <v>1</v>
      </c>
    </row>
    <row r="1383" spans="1:3" x14ac:dyDescent="0.25">
      <c r="A1383" s="1" t="s">
        <v>7</v>
      </c>
      <c r="B1383" s="1">
        <v>109.6</v>
      </c>
      <c r="C1383" s="1">
        <v>3</v>
      </c>
    </row>
    <row r="1384" spans="1:3" x14ac:dyDescent="0.25">
      <c r="A1384" s="1" t="s">
        <v>52</v>
      </c>
      <c r="B1384" s="1">
        <v>64</v>
      </c>
      <c r="C1384" s="1">
        <v>1</v>
      </c>
    </row>
    <row r="1385" spans="1:3" x14ac:dyDescent="0.25">
      <c r="A1385" s="1" t="s">
        <v>6</v>
      </c>
      <c r="B1385" s="1">
        <v>109.6</v>
      </c>
      <c r="C1385" s="1">
        <v>2</v>
      </c>
    </row>
    <row r="1386" spans="1:3" x14ac:dyDescent="0.25">
      <c r="A1386" s="1" t="s">
        <v>62</v>
      </c>
      <c r="B1386" s="1">
        <v>76.8</v>
      </c>
      <c r="C1386" s="1">
        <v>2</v>
      </c>
    </row>
    <row r="1387" spans="1:3" x14ac:dyDescent="0.25">
      <c r="A1387" s="1" t="s">
        <v>13</v>
      </c>
      <c r="B1387" s="1">
        <v>153.6</v>
      </c>
      <c r="C1387" s="1">
        <v>5</v>
      </c>
    </row>
    <row r="1388" spans="1:3" x14ac:dyDescent="0.25">
      <c r="A1388" s="1" t="s">
        <v>26</v>
      </c>
      <c r="B1388" s="1">
        <v>37.5</v>
      </c>
      <c r="C1388" s="1">
        <v>1</v>
      </c>
    </row>
    <row r="1389" spans="1:3" x14ac:dyDescent="0.25">
      <c r="A1389" s="1" t="s">
        <v>14</v>
      </c>
      <c r="B1389" s="1">
        <v>28.75</v>
      </c>
      <c r="C1389" s="1">
        <v>1</v>
      </c>
    </row>
    <row r="1390" spans="1:3" x14ac:dyDescent="0.25">
      <c r="A1390" s="1" t="s">
        <v>19</v>
      </c>
      <c r="B1390" s="1">
        <v>57.5</v>
      </c>
      <c r="C1390" s="1">
        <v>2</v>
      </c>
    </row>
    <row r="1391" spans="1:3" x14ac:dyDescent="0.25">
      <c r="A1391" s="1" t="s">
        <v>49</v>
      </c>
      <c r="B1391" s="1">
        <v>40</v>
      </c>
      <c r="C1391" s="1">
        <v>1</v>
      </c>
    </row>
    <row r="1392" spans="1:3" x14ac:dyDescent="0.25">
      <c r="A1392" s="1" t="s">
        <v>27</v>
      </c>
      <c r="B1392" s="1">
        <v>115.2</v>
      </c>
      <c r="C1392" s="1">
        <v>3</v>
      </c>
    </row>
    <row r="1393" spans="1:3" x14ac:dyDescent="0.25">
      <c r="A1393" s="1" t="s">
        <v>8</v>
      </c>
      <c r="B1393" s="1">
        <v>109.6</v>
      </c>
      <c r="C1393" s="1">
        <v>2</v>
      </c>
    </row>
    <row r="1394" spans="1:3" x14ac:dyDescent="0.25">
      <c r="A1394" s="1" t="s">
        <v>20</v>
      </c>
      <c r="B1394" s="1">
        <v>115.2</v>
      </c>
      <c r="C1394" s="1">
        <v>3</v>
      </c>
    </row>
    <row r="1395" spans="1:3" x14ac:dyDescent="0.25">
      <c r="A1395" s="1" t="s">
        <v>64</v>
      </c>
      <c r="B1395" s="1">
        <v>38.4</v>
      </c>
      <c r="C1395" s="1">
        <v>2</v>
      </c>
    </row>
    <row r="1396" spans="1:3" x14ac:dyDescent="0.25">
      <c r="A1396" s="1" t="s">
        <v>35</v>
      </c>
      <c r="B1396" s="1">
        <v>38.4</v>
      </c>
      <c r="C1396" s="1">
        <v>1</v>
      </c>
    </row>
    <row r="1397" spans="1:3" x14ac:dyDescent="0.25">
      <c r="A1397" s="1" t="s">
        <v>54</v>
      </c>
      <c r="B1397" s="1">
        <v>38.4</v>
      </c>
      <c r="C1397" s="1">
        <v>1</v>
      </c>
    </row>
    <row r="1398" spans="1:3" x14ac:dyDescent="0.25">
      <c r="A1398" s="1" t="s">
        <v>15</v>
      </c>
      <c r="B1398" s="1">
        <v>136</v>
      </c>
      <c r="C1398" s="1">
        <v>2</v>
      </c>
    </row>
    <row r="1399" spans="1:3" x14ac:dyDescent="0.25">
      <c r="A1399" s="1" t="s">
        <v>71</v>
      </c>
      <c r="B1399" s="1">
        <v>40</v>
      </c>
      <c r="C1399" s="1">
        <v>1</v>
      </c>
    </row>
    <row r="1400" spans="1:3" x14ac:dyDescent="0.25">
      <c r="A1400" s="1" t="s">
        <v>53</v>
      </c>
      <c r="B1400" s="1">
        <v>28.75</v>
      </c>
      <c r="C1400" s="1">
        <v>1</v>
      </c>
    </row>
    <row r="1401" spans="1:3" x14ac:dyDescent="0.25">
      <c r="A1401" s="1" t="s">
        <v>32</v>
      </c>
      <c r="B1401" s="1">
        <v>38.4</v>
      </c>
      <c r="C1401" s="1">
        <v>1</v>
      </c>
    </row>
    <row r="1402" spans="1:3" x14ac:dyDescent="0.25">
      <c r="A1402" s="1" t="s">
        <v>12</v>
      </c>
      <c r="B1402" s="1">
        <v>105</v>
      </c>
      <c r="C1402" s="1">
        <v>3</v>
      </c>
    </row>
    <row r="1403" spans="1:3" x14ac:dyDescent="0.25">
      <c r="A1403" s="1" t="s">
        <v>22</v>
      </c>
      <c r="B1403" s="1">
        <v>54.8</v>
      </c>
      <c r="C1403" s="1">
        <v>2</v>
      </c>
    </row>
    <row r="1404" spans="1:3" x14ac:dyDescent="0.25">
      <c r="A1404" s="1" t="s">
        <v>9</v>
      </c>
      <c r="B1404" s="1">
        <v>54.8</v>
      </c>
      <c r="C1404" s="1">
        <v>1</v>
      </c>
    </row>
    <row r="1405" spans="1:3" x14ac:dyDescent="0.25">
      <c r="A1405" s="1" t="s">
        <v>43</v>
      </c>
      <c r="B1405" s="1">
        <v>28.75</v>
      </c>
      <c r="C1405" s="1">
        <v>1</v>
      </c>
    </row>
    <row r="1406" spans="1:3" x14ac:dyDescent="0.25">
      <c r="A1406" s="1" t="s">
        <v>55</v>
      </c>
      <c r="B1406" s="1">
        <v>38.4</v>
      </c>
      <c r="C1406" s="1">
        <v>1</v>
      </c>
    </row>
    <row r="1407" spans="1:3" x14ac:dyDescent="0.25">
      <c r="A1407" s="1" t="s">
        <v>121</v>
      </c>
      <c r="B1407" s="1"/>
      <c r="C1407" s="1"/>
    </row>
    <row r="1408" spans="1:3" x14ac:dyDescent="0.25">
      <c r="A1408" s="1" t="s">
        <v>1</v>
      </c>
      <c r="B1408" s="1">
        <v>54</v>
      </c>
      <c r="C1408" s="1"/>
    </row>
    <row r="1409" spans="1:3" x14ac:dyDescent="0.25">
      <c r="A1409" s="1" t="s">
        <v>2</v>
      </c>
      <c r="B1409" s="1">
        <v>2171.75</v>
      </c>
      <c r="C1409" s="1"/>
    </row>
    <row r="1410" spans="1:3" x14ac:dyDescent="0.25">
      <c r="A1410" s="1" t="s">
        <v>3</v>
      </c>
      <c r="B1410" s="1" t="s">
        <v>4</v>
      </c>
      <c r="C1410" s="1" t="s">
        <v>5</v>
      </c>
    </row>
    <row r="1411" spans="1:3" x14ac:dyDescent="0.25">
      <c r="A1411" s="1" t="s">
        <v>8</v>
      </c>
      <c r="B1411" s="1">
        <v>876.8</v>
      </c>
      <c r="C1411" s="1">
        <v>18</v>
      </c>
    </row>
    <row r="1412" spans="1:3" x14ac:dyDescent="0.25">
      <c r="A1412" s="1" t="s">
        <v>14</v>
      </c>
      <c r="B1412" s="1">
        <v>28.75</v>
      </c>
      <c r="C1412" s="1">
        <v>1</v>
      </c>
    </row>
    <row r="1413" spans="1:3" x14ac:dyDescent="0.25">
      <c r="A1413" s="1" t="s">
        <v>12</v>
      </c>
      <c r="B1413" s="1">
        <v>175</v>
      </c>
      <c r="C1413" s="1">
        <v>5</v>
      </c>
    </row>
    <row r="1414" spans="1:3" x14ac:dyDescent="0.25">
      <c r="A1414" s="1" t="s">
        <v>20</v>
      </c>
      <c r="B1414" s="1">
        <v>384</v>
      </c>
      <c r="C1414" s="1">
        <v>14</v>
      </c>
    </row>
    <row r="1415" spans="1:3" x14ac:dyDescent="0.25">
      <c r="A1415" s="1" t="s">
        <v>21</v>
      </c>
      <c r="B1415" s="1">
        <v>274</v>
      </c>
      <c r="C1415" s="1">
        <v>5</v>
      </c>
    </row>
    <row r="1416" spans="1:3" x14ac:dyDescent="0.25">
      <c r="A1416" s="1" t="s">
        <v>17</v>
      </c>
      <c r="B1416" s="1">
        <v>115.2</v>
      </c>
      <c r="C1416" s="1">
        <v>3</v>
      </c>
    </row>
    <row r="1417" spans="1:3" x14ac:dyDescent="0.25">
      <c r="A1417" s="1" t="s">
        <v>13</v>
      </c>
      <c r="B1417" s="1">
        <v>38.4</v>
      </c>
      <c r="C1417" s="1">
        <v>2</v>
      </c>
    </row>
    <row r="1418" spans="1:3" x14ac:dyDescent="0.25">
      <c r="A1418" s="1" t="s">
        <v>51</v>
      </c>
      <c r="B1418" s="1">
        <v>38.4</v>
      </c>
      <c r="C1418" s="1">
        <v>1</v>
      </c>
    </row>
    <row r="1419" spans="1:3" x14ac:dyDescent="0.25">
      <c r="A1419" s="1" t="s">
        <v>54</v>
      </c>
      <c r="B1419" s="1">
        <v>38.4</v>
      </c>
      <c r="C1419" s="1">
        <v>1</v>
      </c>
    </row>
    <row r="1420" spans="1:3" x14ac:dyDescent="0.25">
      <c r="A1420" s="1" t="s">
        <v>22</v>
      </c>
      <c r="B1420" s="1">
        <v>54.8</v>
      </c>
      <c r="C1420" s="1">
        <v>1</v>
      </c>
    </row>
    <row r="1421" spans="1:3" x14ac:dyDescent="0.25">
      <c r="A1421" s="1" t="s">
        <v>40</v>
      </c>
      <c r="B1421" s="1">
        <v>54.8</v>
      </c>
      <c r="C1421" s="1">
        <v>1</v>
      </c>
    </row>
    <row r="1422" spans="1:3" x14ac:dyDescent="0.25">
      <c r="A1422" s="1" t="s">
        <v>7</v>
      </c>
      <c r="B1422" s="1">
        <v>54.8</v>
      </c>
      <c r="C1422" s="1">
        <v>1</v>
      </c>
    </row>
    <row r="1423" spans="1:3" x14ac:dyDescent="0.25">
      <c r="A1423" s="1" t="s">
        <v>44</v>
      </c>
      <c r="B1423" s="1">
        <v>38.4</v>
      </c>
      <c r="C1423" s="1">
        <v>1</v>
      </c>
    </row>
    <row r="1424" spans="1:3" x14ac:dyDescent="0.25">
      <c r="A1424" s="1" t="s">
        <v>122</v>
      </c>
      <c r="B1424" s="1"/>
      <c r="C1424" s="1"/>
    </row>
    <row r="1425" spans="1:3" x14ac:dyDescent="0.25">
      <c r="A1425" s="1" t="s">
        <v>1</v>
      </c>
      <c r="B1425" s="1">
        <v>52</v>
      </c>
      <c r="C1425" s="1"/>
    </row>
    <row r="1426" spans="1:3" x14ac:dyDescent="0.25">
      <c r="A1426" s="1" t="s">
        <v>2</v>
      </c>
      <c r="B1426" s="1">
        <v>2327.15</v>
      </c>
      <c r="C1426" s="1"/>
    </row>
    <row r="1427" spans="1:3" x14ac:dyDescent="0.25">
      <c r="A1427" s="1" t="s">
        <v>3</v>
      </c>
      <c r="B1427" s="1" t="s">
        <v>4</v>
      </c>
      <c r="C1427" s="1" t="s">
        <v>5</v>
      </c>
    </row>
    <row r="1428" spans="1:3" x14ac:dyDescent="0.25">
      <c r="A1428" s="1" t="s">
        <v>17</v>
      </c>
      <c r="B1428" s="1">
        <v>153.6</v>
      </c>
      <c r="C1428" s="1">
        <v>4</v>
      </c>
    </row>
    <row r="1429" spans="1:3" x14ac:dyDescent="0.25">
      <c r="A1429" s="1" t="s">
        <v>12</v>
      </c>
      <c r="B1429" s="1">
        <v>280</v>
      </c>
      <c r="C1429" s="1">
        <v>8</v>
      </c>
    </row>
    <row r="1430" spans="1:3" x14ac:dyDescent="0.25">
      <c r="A1430" s="1" t="s">
        <v>6</v>
      </c>
      <c r="B1430" s="1">
        <v>274</v>
      </c>
      <c r="C1430" s="1">
        <v>5</v>
      </c>
    </row>
    <row r="1431" spans="1:3" x14ac:dyDescent="0.25">
      <c r="A1431" s="1" t="s">
        <v>8</v>
      </c>
      <c r="B1431" s="1">
        <v>219.2</v>
      </c>
      <c r="C1431" s="1">
        <v>4</v>
      </c>
    </row>
    <row r="1432" spans="1:3" x14ac:dyDescent="0.25">
      <c r="A1432" s="1" t="s">
        <v>20</v>
      </c>
      <c r="B1432" s="1">
        <v>192</v>
      </c>
      <c r="C1432" s="1">
        <v>5</v>
      </c>
    </row>
    <row r="1433" spans="1:3" x14ac:dyDescent="0.25">
      <c r="A1433" s="1" t="s">
        <v>21</v>
      </c>
      <c r="B1433" s="1">
        <v>54.8</v>
      </c>
      <c r="C1433" s="1">
        <v>1</v>
      </c>
    </row>
    <row r="1434" spans="1:3" x14ac:dyDescent="0.25">
      <c r="A1434" s="1" t="s">
        <v>22</v>
      </c>
      <c r="B1434" s="1">
        <v>202.8</v>
      </c>
      <c r="C1434" s="1">
        <v>4</v>
      </c>
    </row>
    <row r="1435" spans="1:3" x14ac:dyDescent="0.25">
      <c r="A1435" s="1" t="s">
        <v>33</v>
      </c>
      <c r="B1435" s="1">
        <v>80</v>
      </c>
      <c r="C1435" s="1">
        <v>2</v>
      </c>
    </row>
    <row r="1436" spans="1:3" x14ac:dyDescent="0.25">
      <c r="A1436" s="1" t="s">
        <v>37</v>
      </c>
      <c r="B1436" s="1">
        <v>109.6</v>
      </c>
      <c r="C1436" s="1">
        <v>2</v>
      </c>
    </row>
    <row r="1437" spans="1:3" x14ac:dyDescent="0.25">
      <c r="A1437" s="1" t="s">
        <v>9</v>
      </c>
      <c r="B1437" s="1">
        <v>109.6</v>
      </c>
      <c r="C1437" s="1">
        <v>2</v>
      </c>
    </row>
    <row r="1438" spans="1:3" x14ac:dyDescent="0.25">
      <c r="A1438" s="1" t="s">
        <v>49</v>
      </c>
      <c r="B1438" s="1">
        <v>120</v>
      </c>
      <c r="C1438" s="1">
        <v>3</v>
      </c>
    </row>
    <row r="1439" spans="1:3" x14ac:dyDescent="0.25">
      <c r="A1439" s="1" t="s">
        <v>19</v>
      </c>
      <c r="B1439" s="1">
        <v>28.75</v>
      </c>
      <c r="C1439" s="1">
        <v>1</v>
      </c>
    </row>
    <row r="1440" spans="1:3" x14ac:dyDescent="0.25">
      <c r="A1440" s="1" t="s">
        <v>7</v>
      </c>
      <c r="B1440" s="1">
        <v>109.6</v>
      </c>
      <c r="C1440" s="1">
        <v>2</v>
      </c>
    </row>
    <row r="1441" spans="1:3" x14ac:dyDescent="0.25">
      <c r="A1441" s="1" t="s">
        <v>40</v>
      </c>
      <c r="B1441" s="1">
        <v>164.4</v>
      </c>
      <c r="C1441" s="1">
        <v>3</v>
      </c>
    </row>
    <row r="1442" spans="1:3" x14ac:dyDescent="0.25">
      <c r="A1442" s="1" t="s">
        <v>57</v>
      </c>
      <c r="B1442" s="1">
        <v>120</v>
      </c>
      <c r="C1442" s="1">
        <v>3</v>
      </c>
    </row>
    <row r="1443" spans="1:3" x14ac:dyDescent="0.25">
      <c r="A1443" s="1" t="s">
        <v>16</v>
      </c>
      <c r="B1443" s="1">
        <v>70.400000000000006</v>
      </c>
      <c r="C1443" s="1">
        <v>2</v>
      </c>
    </row>
    <row r="1444" spans="1:3" x14ac:dyDescent="0.25">
      <c r="A1444" s="1" t="s">
        <v>54</v>
      </c>
      <c r="B1444" s="1">
        <v>38.4</v>
      </c>
      <c r="C1444" s="1">
        <v>1</v>
      </c>
    </row>
    <row r="1445" spans="1:3" x14ac:dyDescent="0.25">
      <c r="A1445" s="1" t="s">
        <v>123</v>
      </c>
      <c r="B1445" s="1"/>
      <c r="C1445" s="1"/>
    </row>
    <row r="1446" spans="1:3" x14ac:dyDescent="0.25">
      <c r="A1446" s="1" t="s">
        <v>1</v>
      </c>
      <c r="B1446" s="1">
        <v>48</v>
      </c>
      <c r="C1446" s="1"/>
    </row>
    <row r="1447" spans="1:3" x14ac:dyDescent="0.25">
      <c r="A1447" s="1" t="s">
        <v>2</v>
      </c>
      <c r="B1447" s="1">
        <v>1861.55</v>
      </c>
      <c r="C1447" s="1"/>
    </row>
    <row r="1448" spans="1:3" x14ac:dyDescent="0.25">
      <c r="A1448" s="1" t="s">
        <v>3</v>
      </c>
      <c r="B1448" s="1" t="s">
        <v>4</v>
      </c>
      <c r="C1448" s="1" t="s">
        <v>5</v>
      </c>
    </row>
    <row r="1449" spans="1:3" x14ac:dyDescent="0.25">
      <c r="A1449" s="1" t="s">
        <v>17</v>
      </c>
      <c r="B1449" s="1">
        <v>268.8</v>
      </c>
      <c r="C1449" s="1">
        <v>10</v>
      </c>
    </row>
    <row r="1450" spans="1:3" x14ac:dyDescent="0.25">
      <c r="A1450" s="1" t="s">
        <v>8</v>
      </c>
      <c r="B1450" s="1">
        <v>219.2</v>
      </c>
      <c r="C1450" s="1">
        <v>4</v>
      </c>
    </row>
    <row r="1451" spans="1:3" x14ac:dyDescent="0.25">
      <c r="A1451" s="1" t="s">
        <v>14</v>
      </c>
      <c r="B1451" s="1">
        <v>28.75</v>
      </c>
      <c r="C1451" s="1">
        <v>1</v>
      </c>
    </row>
    <row r="1452" spans="1:3" x14ac:dyDescent="0.25">
      <c r="A1452" s="1" t="s">
        <v>18</v>
      </c>
      <c r="B1452" s="1">
        <v>230.4</v>
      </c>
      <c r="C1452" s="1">
        <v>6</v>
      </c>
    </row>
    <row r="1453" spans="1:3" x14ac:dyDescent="0.25">
      <c r="A1453" s="1" t="s">
        <v>49</v>
      </c>
      <c r="B1453" s="1">
        <v>160</v>
      </c>
      <c r="C1453" s="1">
        <v>4</v>
      </c>
    </row>
    <row r="1454" spans="1:3" x14ac:dyDescent="0.25">
      <c r="A1454" s="1" t="s">
        <v>7</v>
      </c>
      <c r="B1454" s="1">
        <v>54.8</v>
      </c>
      <c r="C1454" s="1">
        <v>1</v>
      </c>
    </row>
    <row r="1455" spans="1:3" x14ac:dyDescent="0.25">
      <c r="A1455" s="1" t="s">
        <v>20</v>
      </c>
      <c r="B1455" s="1">
        <v>192</v>
      </c>
      <c r="C1455" s="1">
        <v>6</v>
      </c>
    </row>
    <row r="1456" spans="1:3" x14ac:dyDescent="0.25">
      <c r="A1456" s="1" t="s">
        <v>64</v>
      </c>
      <c r="B1456" s="1">
        <v>38.4</v>
      </c>
      <c r="C1456" s="1">
        <v>1</v>
      </c>
    </row>
    <row r="1457" spans="1:3" x14ac:dyDescent="0.25">
      <c r="A1457" s="1" t="s">
        <v>12</v>
      </c>
      <c r="B1457" s="1">
        <v>70</v>
      </c>
      <c r="C1457" s="1">
        <v>2</v>
      </c>
    </row>
    <row r="1458" spans="1:3" x14ac:dyDescent="0.25">
      <c r="A1458" s="1" t="s">
        <v>21</v>
      </c>
      <c r="B1458" s="1">
        <v>274</v>
      </c>
      <c r="C1458" s="1">
        <v>5</v>
      </c>
    </row>
    <row r="1459" spans="1:3" x14ac:dyDescent="0.25">
      <c r="A1459" s="1" t="s">
        <v>10</v>
      </c>
      <c r="B1459" s="1">
        <v>76.8</v>
      </c>
      <c r="C1459" s="1">
        <v>2</v>
      </c>
    </row>
    <row r="1460" spans="1:3" x14ac:dyDescent="0.25">
      <c r="A1460" s="1" t="s">
        <v>16</v>
      </c>
      <c r="B1460" s="1">
        <v>35.200000000000003</v>
      </c>
      <c r="C1460" s="1">
        <v>1</v>
      </c>
    </row>
    <row r="1461" spans="1:3" x14ac:dyDescent="0.25">
      <c r="A1461" s="1" t="s">
        <v>33</v>
      </c>
      <c r="B1461" s="1">
        <v>80</v>
      </c>
      <c r="C1461" s="1">
        <v>2</v>
      </c>
    </row>
    <row r="1462" spans="1:3" x14ac:dyDescent="0.25">
      <c r="A1462" s="1" t="s">
        <v>56</v>
      </c>
      <c r="B1462" s="1">
        <v>38.4</v>
      </c>
      <c r="C1462" s="1">
        <v>1</v>
      </c>
    </row>
    <row r="1463" spans="1:3" x14ac:dyDescent="0.25">
      <c r="A1463" s="1" t="s">
        <v>22</v>
      </c>
      <c r="B1463" s="1">
        <v>54.8</v>
      </c>
      <c r="C1463" s="1">
        <v>1</v>
      </c>
    </row>
    <row r="1464" spans="1:3" x14ac:dyDescent="0.25">
      <c r="A1464" s="1" t="s">
        <v>39</v>
      </c>
      <c r="B1464" s="1">
        <v>40</v>
      </c>
      <c r="C1464" s="1">
        <v>1</v>
      </c>
    </row>
    <row r="1465" spans="1:3" x14ac:dyDescent="0.25">
      <c r="A1465" s="1" t="s">
        <v>124</v>
      </c>
      <c r="B1465" s="1"/>
      <c r="C1465" s="1"/>
    </row>
    <row r="1466" spans="1:3" x14ac:dyDescent="0.25">
      <c r="A1466" s="1" t="s">
        <v>1</v>
      </c>
      <c r="B1466" s="1">
        <v>32</v>
      </c>
      <c r="C1466" s="1"/>
    </row>
    <row r="1467" spans="1:3" x14ac:dyDescent="0.25">
      <c r="A1467" s="1" t="s">
        <v>2</v>
      </c>
      <c r="B1467" s="1">
        <v>1325.5</v>
      </c>
      <c r="C1467" s="1"/>
    </row>
    <row r="1468" spans="1:3" x14ac:dyDescent="0.25">
      <c r="A1468" s="1" t="s">
        <v>3</v>
      </c>
      <c r="B1468" s="1" t="s">
        <v>4</v>
      </c>
      <c r="C1468" s="1" t="s">
        <v>5</v>
      </c>
    </row>
    <row r="1469" spans="1:3" x14ac:dyDescent="0.25">
      <c r="A1469" s="1" t="s">
        <v>16</v>
      </c>
      <c r="B1469" s="1">
        <v>70.400000000000006</v>
      </c>
      <c r="C1469" s="1">
        <v>4</v>
      </c>
    </row>
    <row r="1470" spans="1:3" x14ac:dyDescent="0.25">
      <c r="A1470" s="1" t="s">
        <v>20</v>
      </c>
      <c r="B1470" s="1">
        <v>192</v>
      </c>
      <c r="C1470" s="1">
        <v>5</v>
      </c>
    </row>
    <row r="1471" spans="1:3" x14ac:dyDescent="0.25">
      <c r="A1471" s="1" t="s">
        <v>14</v>
      </c>
      <c r="B1471" s="1">
        <v>57.5</v>
      </c>
      <c r="C1471" s="1">
        <v>2</v>
      </c>
    </row>
    <row r="1472" spans="1:3" x14ac:dyDescent="0.25">
      <c r="A1472" s="1" t="s">
        <v>8</v>
      </c>
      <c r="B1472" s="1">
        <v>274</v>
      </c>
      <c r="C1472" s="1">
        <v>5</v>
      </c>
    </row>
    <row r="1473" spans="1:3" x14ac:dyDescent="0.25">
      <c r="A1473" s="1" t="s">
        <v>18</v>
      </c>
      <c r="B1473" s="1">
        <v>115.2</v>
      </c>
      <c r="C1473" s="1">
        <v>3</v>
      </c>
    </row>
    <row r="1474" spans="1:3" x14ac:dyDescent="0.25">
      <c r="A1474" s="1" t="s">
        <v>12</v>
      </c>
      <c r="B1474" s="1">
        <v>70</v>
      </c>
      <c r="C1474" s="1">
        <v>2</v>
      </c>
    </row>
    <row r="1475" spans="1:3" x14ac:dyDescent="0.25">
      <c r="A1475" s="1" t="s">
        <v>38</v>
      </c>
      <c r="B1475" s="1">
        <v>64</v>
      </c>
      <c r="C1475" s="1">
        <v>1</v>
      </c>
    </row>
    <row r="1476" spans="1:3" x14ac:dyDescent="0.25">
      <c r="A1476" s="1" t="s">
        <v>10</v>
      </c>
      <c r="B1476" s="1">
        <v>115.2</v>
      </c>
      <c r="C1476" s="1">
        <v>3</v>
      </c>
    </row>
    <row r="1477" spans="1:3" x14ac:dyDescent="0.25">
      <c r="A1477" s="1" t="s">
        <v>21</v>
      </c>
      <c r="B1477" s="1">
        <v>54.8</v>
      </c>
      <c r="C1477" s="1">
        <v>1</v>
      </c>
    </row>
    <row r="1478" spans="1:3" x14ac:dyDescent="0.25">
      <c r="A1478" s="1" t="s">
        <v>37</v>
      </c>
      <c r="B1478" s="1">
        <v>109.6</v>
      </c>
      <c r="C1478" s="1">
        <v>2</v>
      </c>
    </row>
    <row r="1479" spans="1:3" x14ac:dyDescent="0.25">
      <c r="A1479" s="1" t="s">
        <v>6</v>
      </c>
      <c r="B1479" s="1">
        <v>109.6</v>
      </c>
      <c r="C1479" s="1">
        <v>2</v>
      </c>
    </row>
    <row r="1480" spans="1:3" x14ac:dyDescent="0.25">
      <c r="A1480" s="1" t="s">
        <v>17</v>
      </c>
      <c r="B1480" s="1">
        <v>38.4</v>
      </c>
      <c r="C1480" s="1">
        <v>1</v>
      </c>
    </row>
    <row r="1481" spans="1:3" x14ac:dyDescent="0.25">
      <c r="A1481" s="1" t="s">
        <v>40</v>
      </c>
      <c r="B1481" s="1">
        <v>54.8</v>
      </c>
      <c r="C1481" s="1">
        <v>1</v>
      </c>
    </row>
    <row r="1482" spans="1:3" x14ac:dyDescent="0.25">
      <c r="A1482" s="1" t="s">
        <v>125</v>
      </c>
      <c r="B1482" s="1"/>
      <c r="C1482" s="1"/>
    </row>
    <row r="1483" spans="1:3" x14ac:dyDescent="0.25">
      <c r="A1483" s="1" t="s">
        <v>1</v>
      </c>
      <c r="B1483" s="1">
        <v>55</v>
      </c>
      <c r="C1483" s="1"/>
    </row>
    <row r="1484" spans="1:3" x14ac:dyDescent="0.25">
      <c r="A1484" s="1" t="s">
        <v>2</v>
      </c>
      <c r="B1484" s="1">
        <v>2310.0100000000002</v>
      </c>
      <c r="C1484" s="1"/>
    </row>
    <row r="1485" spans="1:3" x14ac:dyDescent="0.25">
      <c r="A1485" s="1" t="s">
        <v>3</v>
      </c>
      <c r="B1485" s="1" t="s">
        <v>4</v>
      </c>
      <c r="C1485" s="1" t="s">
        <v>5</v>
      </c>
    </row>
    <row r="1486" spans="1:3" x14ac:dyDescent="0.25">
      <c r="A1486" s="1" t="s">
        <v>20</v>
      </c>
      <c r="B1486" s="1">
        <v>268.8</v>
      </c>
      <c r="C1486" s="1">
        <v>8</v>
      </c>
    </row>
    <row r="1487" spans="1:3" x14ac:dyDescent="0.25">
      <c r="A1487" s="1" t="s">
        <v>12</v>
      </c>
      <c r="B1487" s="1">
        <v>210</v>
      </c>
      <c r="C1487" s="1">
        <v>6</v>
      </c>
    </row>
    <row r="1488" spans="1:3" x14ac:dyDescent="0.25">
      <c r="A1488" s="1" t="s">
        <v>21</v>
      </c>
      <c r="B1488" s="1">
        <v>274</v>
      </c>
      <c r="C1488" s="1">
        <v>5</v>
      </c>
    </row>
    <row r="1489" spans="1:3" x14ac:dyDescent="0.25">
      <c r="A1489" s="1" t="s">
        <v>49</v>
      </c>
      <c r="B1489" s="1">
        <v>40</v>
      </c>
      <c r="C1489" s="1">
        <v>1</v>
      </c>
    </row>
    <row r="1490" spans="1:3" x14ac:dyDescent="0.25">
      <c r="A1490" s="1" t="s">
        <v>8</v>
      </c>
      <c r="B1490" s="1">
        <v>219.2</v>
      </c>
      <c r="C1490" s="1">
        <v>4</v>
      </c>
    </row>
    <row r="1491" spans="1:3" x14ac:dyDescent="0.25">
      <c r="A1491" s="1" t="s">
        <v>15</v>
      </c>
      <c r="B1491" s="1">
        <v>68</v>
      </c>
      <c r="C1491" s="1">
        <v>1</v>
      </c>
    </row>
    <row r="1492" spans="1:3" x14ac:dyDescent="0.25">
      <c r="A1492" s="1" t="s">
        <v>40</v>
      </c>
      <c r="B1492" s="1">
        <v>164.4</v>
      </c>
      <c r="C1492" s="1">
        <v>3</v>
      </c>
    </row>
    <row r="1493" spans="1:3" x14ac:dyDescent="0.25">
      <c r="A1493" s="1" t="s">
        <v>19</v>
      </c>
      <c r="B1493" s="1">
        <v>57.5</v>
      </c>
      <c r="C1493" s="1">
        <v>2</v>
      </c>
    </row>
    <row r="1494" spans="1:3" x14ac:dyDescent="0.25">
      <c r="A1494" s="1" t="s">
        <v>7</v>
      </c>
      <c r="B1494" s="1">
        <v>54.8</v>
      </c>
      <c r="C1494" s="1">
        <v>1</v>
      </c>
    </row>
    <row r="1495" spans="1:3" x14ac:dyDescent="0.25">
      <c r="A1495" s="1" t="s">
        <v>22</v>
      </c>
      <c r="B1495" s="1">
        <v>164.4</v>
      </c>
      <c r="C1495" s="1">
        <v>3</v>
      </c>
    </row>
    <row r="1496" spans="1:3" x14ac:dyDescent="0.25">
      <c r="A1496" s="1" t="s">
        <v>6</v>
      </c>
      <c r="B1496" s="1">
        <v>54.8</v>
      </c>
      <c r="C1496" s="1">
        <v>1</v>
      </c>
    </row>
    <row r="1497" spans="1:3" x14ac:dyDescent="0.25">
      <c r="A1497" s="1" t="s">
        <v>64</v>
      </c>
      <c r="B1497" s="1">
        <v>76.8</v>
      </c>
      <c r="C1497" s="1">
        <v>2</v>
      </c>
    </row>
    <row r="1498" spans="1:3" x14ac:dyDescent="0.25">
      <c r="A1498" s="1" t="s">
        <v>18</v>
      </c>
      <c r="B1498" s="1">
        <v>230.4</v>
      </c>
      <c r="C1498" s="1">
        <v>7</v>
      </c>
    </row>
    <row r="1499" spans="1:3" x14ac:dyDescent="0.25">
      <c r="A1499" s="1" t="s">
        <v>14</v>
      </c>
      <c r="B1499" s="1">
        <v>28.75</v>
      </c>
      <c r="C1499" s="1">
        <v>1</v>
      </c>
    </row>
    <row r="1500" spans="1:3" x14ac:dyDescent="0.25">
      <c r="A1500" s="1" t="s">
        <v>33</v>
      </c>
      <c r="B1500" s="1">
        <v>40</v>
      </c>
      <c r="C1500" s="1">
        <v>1</v>
      </c>
    </row>
    <row r="1501" spans="1:3" x14ac:dyDescent="0.25">
      <c r="A1501" s="1" t="s">
        <v>17</v>
      </c>
      <c r="B1501" s="1">
        <v>115.2</v>
      </c>
      <c r="C1501" s="1">
        <v>3</v>
      </c>
    </row>
    <row r="1502" spans="1:3" x14ac:dyDescent="0.25">
      <c r="A1502" s="1" t="s">
        <v>31</v>
      </c>
      <c r="B1502" s="1">
        <v>34.56</v>
      </c>
      <c r="C1502" s="1">
        <v>1</v>
      </c>
    </row>
    <row r="1503" spans="1:3" x14ac:dyDescent="0.25">
      <c r="A1503" s="1" t="s">
        <v>54</v>
      </c>
      <c r="B1503" s="1">
        <v>38.4</v>
      </c>
      <c r="C1503" s="1">
        <v>1</v>
      </c>
    </row>
    <row r="1504" spans="1:3" x14ac:dyDescent="0.25">
      <c r="A1504" s="1" t="s">
        <v>9</v>
      </c>
      <c r="B1504" s="1">
        <v>54.8</v>
      </c>
      <c r="C1504" s="1">
        <v>1</v>
      </c>
    </row>
    <row r="1505" spans="1:3" x14ac:dyDescent="0.25">
      <c r="A1505" s="1" t="s">
        <v>13</v>
      </c>
      <c r="B1505" s="1">
        <v>38.4</v>
      </c>
      <c r="C1505" s="1">
        <v>1</v>
      </c>
    </row>
    <row r="1506" spans="1:3" x14ac:dyDescent="0.25">
      <c r="A1506" s="1" t="s">
        <v>27</v>
      </c>
      <c r="B1506" s="1">
        <v>38.4</v>
      </c>
      <c r="C1506" s="1">
        <v>1</v>
      </c>
    </row>
    <row r="1507" spans="1:3" x14ac:dyDescent="0.25">
      <c r="A1507" s="1" t="s">
        <v>56</v>
      </c>
      <c r="B1507" s="1">
        <v>38.4</v>
      </c>
      <c r="C1507" s="1">
        <v>1</v>
      </c>
    </row>
    <row r="1508" spans="1:3" x14ac:dyDescent="0.25">
      <c r="A1508" s="1" t="s">
        <v>126</v>
      </c>
      <c r="B1508" s="1"/>
      <c r="C1508" s="1"/>
    </row>
    <row r="1509" spans="1:3" x14ac:dyDescent="0.25">
      <c r="A1509" s="1" t="s">
        <v>1</v>
      </c>
      <c r="B1509" s="1">
        <v>19</v>
      </c>
      <c r="C1509" s="1"/>
    </row>
    <row r="1510" spans="1:3" x14ac:dyDescent="0.25">
      <c r="A1510" s="1" t="s">
        <v>2</v>
      </c>
      <c r="B1510" s="1">
        <v>757.7</v>
      </c>
      <c r="C1510" s="1"/>
    </row>
    <row r="1511" spans="1:3" x14ac:dyDescent="0.25">
      <c r="A1511" s="1" t="s">
        <v>3</v>
      </c>
      <c r="B1511" s="1" t="s">
        <v>4</v>
      </c>
      <c r="C1511" s="1" t="s">
        <v>5</v>
      </c>
    </row>
    <row r="1512" spans="1:3" x14ac:dyDescent="0.25">
      <c r="A1512" s="1" t="s">
        <v>18</v>
      </c>
      <c r="B1512" s="1">
        <v>115.2</v>
      </c>
      <c r="C1512" s="1">
        <v>3</v>
      </c>
    </row>
    <row r="1513" spans="1:3" x14ac:dyDescent="0.25">
      <c r="A1513" s="1" t="s">
        <v>8</v>
      </c>
      <c r="B1513" s="1">
        <v>109.6</v>
      </c>
      <c r="C1513" s="1">
        <v>2</v>
      </c>
    </row>
    <row r="1514" spans="1:3" x14ac:dyDescent="0.25">
      <c r="A1514" s="1" t="s">
        <v>33</v>
      </c>
      <c r="B1514" s="1">
        <v>120</v>
      </c>
      <c r="C1514" s="1">
        <v>3</v>
      </c>
    </row>
    <row r="1515" spans="1:3" x14ac:dyDescent="0.25">
      <c r="A1515" s="1" t="s">
        <v>14</v>
      </c>
      <c r="B1515" s="1">
        <v>28.75</v>
      </c>
      <c r="C1515" s="1">
        <v>1</v>
      </c>
    </row>
    <row r="1516" spans="1:3" x14ac:dyDescent="0.25">
      <c r="A1516" s="1" t="s">
        <v>17</v>
      </c>
      <c r="B1516" s="1">
        <v>38.4</v>
      </c>
      <c r="C1516" s="1">
        <v>1</v>
      </c>
    </row>
    <row r="1517" spans="1:3" x14ac:dyDescent="0.25">
      <c r="A1517" s="1" t="s">
        <v>20</v>
      </c>
      <c r="B1517" s="1">
        <v>115.2</v>
      </c>
      <c r="C1517" s="1">
        <v>3</v>
      </c>
    </row>
    <row r="1518" spans="1:3" x14ac:dyDescent="0.25">
      <c r="A1518" s="1" t="s">
        <v>41</v>
      </c>
      <c r="B1518" s="1">
        <v>28.75</v>
      </c>
      <c r="C1518" s="1">
        <v>1</v>
      </c>
    </row>
    <row r="1519" spans="1:3" x14ac:dyDescent="0.25">
      <c r="A1519" s="1" t="s">
        <v>27</v>
      </c>
      <c r="B1519" s="1">
        <v>38.4</v>
      </c>
      <c r="C1519" s="1">
        <v>1</v>
      </c>
    </row>
    <row r="1520" spans="1:3" x14ac:dyDescent="0.25">
      <c r="A1520" s="1" t="s">
        <v>12</v>
      </c>
      <c r="B1520" s="1">
        <v>35</v>
      </c>
      <c r="C1520" s="1">
        <v>1</v>
      </c>
    </row>
    <row r="1521" spans="1:3" x14ac:dyDescent="0.25">
      <c r="A1521" s="1" t="s">
        <v>40</v>
      </c>
      <c r="B1521" s="1">
        <v>54.8</v>
      </c>
      <c r="C1521" s="1">
        <v>1</v>
      </c>
    </row>
    <row r="1522" spans="1:3" x14ac:dyDescent="0.25">
      <c r="A1522" s="1" t="s">
        <v>54</v>
      </c>
      <c r="B1522" s="1">
        <v>38.4</v>
      </c>
      <c r="C1522" s="1">
        <v>1</v>
      </c>
    </row>
    <row r="1523" spans="1:3" x14ac:dyDescent="0.25">
      <c r="A1523" s="1" t="s">
        <v>16</v>
      </c>
      <c r="B1523" s="1">
        <v>35.200000000000003</v>
      </c>
      <c r="C1523" s="1">
        <v>1</v>
      </c>
    </row>
    <row r="1524" spans="1:3" x14ac:dyDescent="0.25">
      <c r="A1524" s="1" t="s">
        <v>127</v>
      </c>
      <c r="B1524" s="1"/>
      <c r="C1524" s="1"/>
    </row>
    <row r="1525" spans="1:3" x14ac:dyDescent="0.25">
      <c r="A1525" s="1" t="s">
        <v>1</v>
      </c>
      <c r="B1525" s="1">
        <v>42</v>
      </c>
      <c r="C1525" s="1"/>
    </row>
    <row r="1526" spans="1:3" x14ac:dyDescent="0.25">
      <c r="A1526" s="1" t="s">
        <v>2</v>
      </c>
      <c r="B1526" s="1">
        <v>1822.65</v>
      </c>
      <c r="C1526" s="1"/>
    </row>
    <row r="1527" spans="1:3" x14ac:dyDescent="0.25">
      <c r="A1527" s="1" t="s">
        <v>3</v>
      </c>
      <c r="B1527" s="1" t="s">
        <v>4</v>
      </c>
      <c r="C1527" s="1" t="s">
        <v>5</v>
      </c>
    </row>
    <row r="1528" spans="1:3" x14ac:dyDescent="0.25">
      <c r="A1528" s="1" t="s">
        <v>6</v>
      </c>
      <c r="B1528" s="1">
        <v>54.8</v>
      </c>
      <c r="C1528" s="1">
        <v>1</v>
      </c>
    </row>
    <row r="1529" spans="1:3" x14ac:dyDescent="0.25">
      <c r="A1529" s="1" t="s">
        <v>20</v>
      </c>
      <c r="B1529" s="1">
        <v>192</v>
      </c>
      <c r="C1529" s="1">
        <v>5</v>
      </c>
    </row>
    <row r="1530" spans="1:3" x14ac:dyDescent="0.25">
      <c r="A1530" s="1" t="s">
        <v>18</v>
      </c>
      <c r="B1530" s="1">
        <v>268.8</v>
      </c>
      <c r="C1530" s="1">
        <v>7</v>
      </c>
    </row>
    <row r="1531" spans="1:3" x14ac:dyDescent="0.25">
      <c r="A1531" s="1" t="s">
        <v>8</v>
      </c>
      <c r="B1531" s="1">
        <v>493.2</v>
      </c>
      <c r="C1531" s="1">
        <v>10</v>
      </c>
    </row>
    <row r="1532" spans="1:3" x14ac:dyDescent="0.25">
      <c r="A1532" s="1" t="s">
        <v>17</v>
      </c>
      <c r="B1532" s="1">
        <v>38.4</v>
      </c>
      <c r="C1532" s="1">
        <v>1</v>
      </c>
    </row>
    <row r="1533" spans="1:3" x14ac:dyDescent="0.25">
      <c r="A1533" s="1" t="s">
        <v>7</v>
      </c>
      <c r="B1533" s="1">
        <v>109.6</v>
      </c>
      <c r="C1533" s="1">
        <v>2</v>
      </c>
    </row>
    <row r="1534" spans="1:3" x14ac:dyDescent="0.25">
      <c r="A1534" s="1" t="s">
        <v>12</v>
      </c>
      <c r="B1534" s="1">
        <v>140</v>
      </c>
      <c r="C1534" s="1">
        <v>4</v>
      </c>
    </row>
    <row r="1535" spans="1:3" x14ac:dyDescent="0.25">
      <c r="A1535" s="1" t="s">
        <v>26</v>
      </c>
      <c r="B1535" s="1">
        <v>37.5</v>
      </c>
      <c r="C1535" s="1">
        <v>1</v>
      </c>
    </row>
    <row r="1536" spans="1:3" x14ac:dyDescent="0.25">
      <c r="A1536" s="1" t="s">
        <v>27</v>
      </c>
      <c r="B1536" s="1">
        <v>38.4</v>
      </c>
      <c r="C1536" s="1">
        <v>1</v>
      </c>
    </row>
    <row r="1537" spans="1:3" x14ac:dyDescent="0.25">
      <c r="A1537" s="1" t="s">
        <v>16</v>
      </c>
      <c r="B1537" s="1">
        <v>70.400000000000006</v>
      </c>
      <c r="C1537" s="1">
        <v>2</v>
      </c>
    </row>
    <row r="1538" spans="1:3" x14ac:dyDescent="0.25">
      <c r="A1538" s="1" t="s">
        <v>40</v>
      </c>
      <c r="B1538" s="1">
        <v>219.2</v>
      </c>
      <c r="C1538" s="1">
        <v>4</v>
      </c>
    </row>
    <row r="1539" spans="1:3" x14ac:dyDescent="0.25">
      <c r="A1539" s="1" t="s">
        <v>54</v>
      </c>
      <c r="B1539" s="1">
        <v>76.8</v>
      </c>
      <c r="C1539" s="1">
        <v>2</v>
      </c>
    </row>
    <row r="1540" spans="1:3" x14ac:dyDescent="0.25">
      <c r="A1540" s="1" t="s">
        <v>22</v>
      </c>
      <c r="B1540" s="1">
        <v>54.8</v>
      </c>
      <c r="C1540" s="1">
        <v>1</v>
      </c>
    </row>
    <row r="1541" spans="1:3" x14ac:dyDescent="0.25">
      <c r="A1541" s="1" t="s">
        <v>68</v>
      </c>
      <c r="B1541" s="1">
        <v>28.75</v>
      </c>
      <c r="C1541" s="1">
        <v>1</v>
      </c>
    </row>
    <row r="1542" spans="1:3" x14ac:dyDescent="0.25">
      <c r="A1542" s="1" t="s">
        <v>128</v>
      </c>
      <c r="B1542" s="1"/>
      <c r="C1542" s="1"/>
    </row>
    <row r="1543" spans="1:3" x14ac:dyDescent="0.25">
      <c r="A1543" s="1" t="s">
        <v>1</v>
      </c>
      <c r="B1543" s="1">
        <v>22</v>
      </c>
      <c r="C1543" s="1"/>
    </row>
    <row r="1544" spans="1:3" x14ac:dyDescent="0.25">
      <c r="A1544" s="1" t="s">
        <v>2</v>
      </c>
      <c r="B1544" s="1">
        <v>853.7</v>
      </c>
      <c r="C1544" s="1"/>
    </row>
    <row r="1545" spans="1:3" x14ac:dyDescent="0.25">
      <c r="A1545" s="1" t="s">
        <v>3</v>
      </c>
      <c r="B1545" s="1" t="s">
        <v>4</v>
      </c>
      <c r="C1545" s="1" t="s">
        <v>5</v>
      </c>
    </row>
    <row r="1546" spans="1:3" x14ac:dyDescent="0.25">
      <c r="A1546" s="1" t="s">
        <v>20</v>
      </c>
      <c r="B1546" s="1">
        <v>76.8</v>
      </c>
      <c r="C1546" s="1">
        <v>2</v>
      </c>
    </row>
    <row r="1547" spans="1:3" x14ac:dyDescent="0.25">
      <c r="A1547" s="1" t="s">
        <v>19</v>
      </c>
      <c r="B1547" s="1">
        <v>28.75</v>
      </c>
      <c r="C1547" s="1">
        <v>1</v>
      </c>
    </row>
    <row r="1548" spans="1:3" x14ac:dyDescent="0.25">
      <c r="A1548" s="1" t="s">
        <v>74</v>
      </c>
      <c r="B1548" s="1">
        <v>74</v>
      </c>
      <c r="C1548" s="1">
        <v>1</v>
      </c>
    </row>
    <row r="1549" spans="1:3" x14ac:dyDescent="0.25">
      <c r="A1549" s="1" t="s">
        <v>14</v>
      </c>
      <c r="B1549" s="1">
        <v>28.75</v>
      </c>
      <c r="C1549" s="1">
        <v>1</v>
      </c>
    </row>
    <row r="1550" spans="1:3" x14ac:dyDescent="0.25">
      <c r="A1550" s="1" t="s">
        <v>26</v>
      </c>
      <c r="B1550" s="1">
        <v>37.5</v>
      </c>
      <c r="C1550" s="1">
        <v>1</v>
      </c>
    </row>
    <row r="1551" spans="1:3" x14ac:dyDescent="0.25">
      <c r="A1551" s="1" t="s">
        <v>49</v>
      </c>
      <c r="B1551" s="1">
        <v>40</v>
      </c>
      <c r="C1551" s="1">
        <v>1</v>
      </c>
    </row>
    <row r="1552" spans="1:3" x14ac:dyDescent="0.25">
      <c r="A1552" s="1" t="s">
        <v>71</v>
      </c>
      <c r="B1552" s="1">
        <v>40</v>
      </c>
      <c r="C1552" s="1">
        <v>1</v>
      </c>
    </row>
    <row r="1553" spans="1:3" x14ac:dyDescent="0.25">
      <c r="A1553" s="1" t="s">
        <v>56</v>
      </c>
      <c r="B1553" s="1">
        <v>115.2</v>
      </c>
      <c r="C1553" s="1">
        <v>3</v>
      </c>
    </row>
    <row r="1554" spans="1:3" x14ac:dyDescent="0.25">
      <c r="A1554" s="1" t="s">
        <v>18</v>
      </c>
      <c r="B1554" s="1">
        <v>115.2</v>
      </c>
      <c r="C1554" s="1">
        <v>3</v>
      </c>
    </row>
    <row r="1555" spans="1:3" x14ac:dyDescent="0.25">
      <c r="A1555" s="1" t="s">
        <v>12</v>
      </c>
      <c r="B1555" s="1">
        <v>70</v>
      </c>
      <c r="C1555" s="1">
        <v>2</v>
      </c>
    </row>
    <row r="1556" spans="1:3" x14ac:dyDescent="0.25">
      <c r="A1556" s="1" t="s">
        <v>54</v>
      </c>
      <c r="B1556" s="1">
        <v>38.4</v>
      </c>
      <c r="C1556" s="1">
        <v>1</v>
      </c>
    </row>
    <row r="1557" spans="1:3" x14ac:dyDescent="0.25">
      <c r="A1557" s="1" t="s">
        <v>43</v>
      </c>
      <c r="B1557" s="1">
        <v>28.75</v>
      </c>
      <c r="C1557" s="1">
        <v>1</v>
      </c>
    </row>
    <row r="1558" spans="1:3" x14ac:dyDescent="0.25">
      <c r="A1558" s="1" t="s">
        <v>40</v>
      </c>
      <c r="B1558" s="1">
        <v>54.8</v>
      </c>
      <c r="C1558" s="1">
        <v>1</v>
      </c>
    </row>
    <row r="1559" spans="1:3" x14ac:dyDescent="0.25">
      <c r="A1559" s="1" t="s">
        <v>41</v>
      </c>
      <c r="B1559" s="1">
        <v>28.75</v>
      </c>
      <c r="C1559" s="1">
        <v>1</v>
      </c>
    </row>
    <row r="1560" spans="1:3" x14ac:dyDescent="0.25">
      <c r="A1560" s="1" t="s">
        <v>62</v>
      </c>
      <c r="B1560" s="1">
        <v>76.8</v>
      </c>
      <c r="C1560" s="1">
        <v>2</v>
      </c>
    </row>
    <row r="1561" spans="1:3" x14ac:dyDescent="0.25">
      <c r="A1561" s="1" t="s">
        <v>129</v>
      </c>
      <c r="B1561" s="1"/>
      <c r="C1561" s="1"/>
    </row>
    <row r="1562" spans="1:3" x14ac:dyDescent="0.25">
      <c r="A1562" s="1" t="s">
        <v>1</v>
      </c>
      <c r="B1562" s="1">
        <v>33</v>
      </c>
      <c r="C1562" s="1"/>
    </row>
    <row r="1563" spans="1:3" x14ac:dyDescent="0.25">
      <c r="A1563" s="1" t="s">
        <v>2</v>
      </c>
      <c r="B1563" s="1">
        <v>1461.39</v>
      </c>
      <c r="C1563" s="1"/>
    </row>
    <row r="1564" spans="1:3" x14ac:dyDescent="0.25">
      <c r="A1564" s="1" t="s">
        <v>3</v>
      </c>
      <c r="B1564" s="1" t="s">
        <v>4</v>
      </c>
      <c r="C1564" s="1" t="s">
        <v>5</v>
      </c>
    </row>
    <row r="1565" spans="1:3" x14ac:dyDescent="0.25">
      <c r="A1565" s="1" t="s">
        <v>10</v>
      </c>
      <c r="B1565" s="1">
        <v>38.4</v>
      </c>
      <c r="C1565" s="1">
        <v>1</v>
      </c>
    </row>
    <row r="1566" spans="1:3" x14ac:dyDescent="0.25">
      <c r="A1566" s="1" t="s">
        <v>17</v>
      </c>
      <c r="B1566" s="1">
        <v>76.8</v>
      </c>
      <c r="C1566" s="1">
        <v>2</v>
      </c>
    </row>
    <row r="1567" spans="1:3" x14ac:dyDescent="0.25">
      <c r="A1567" s="1" t="s">
        <v>8</v>
      </c>
      <c r="B1567" s="1">
        <v>274</v>
      </c>
      <c r="C1567" s="1">
        <v>5</v>
      </c>
    </row>
    <row r="1568" spans="1:3" x14ac:dyDescent="0.25">
      <c r="A1568" s="1" t="s">
        <v>30</v>
      </c>
      <c r="B1568" s="1">
        <v>15.99</v>
      </c>
      <c r="C1568" s="1">
        <v>1</v>
      </c>
    </row>
    <row r="1569" spans="1:3" x14ac:dyDescent="0.25">
      <c r="A1569" s="1" t="s">
        <v>12</v>
      </c>
      <c r="B1569" s="1">
        <v>70</v>
      </c>
      <c r="C1569" s="1">
        <v>2</v>
      </c>
    </row>
    <row r="1570" spans="1:3" x14ac:dyDescent="0.25">
      <c r="A1570" s="1" t="s">
        <v>14</v>
      </c>
      <c r="B1570" s="1">
        <v>57.5</v>
      </c>
      <c r="C1570" s="1">
        <v>2</v>
      </c>
    </row>
    <row r="1571" spans="1:3" x14ac:dyDescent="0.25">
      <c r="A1571" s="1" t="s">
        <v>15</v>
      </c>
      <c r="B1571" s="1">
        <v>204</v>
      </c>
      <c r="C1571" s="1">
        <v>3</v>
      </c>
    </row>
    <row r="1572" spans="1:3" x14ac:dyDescent="0.25">
      <c r="A1572" s="1" t="s">
        <v>21</v>
      </c>
      <c r="B1572" s="1">
        <v>54.8</v>
      </c>
      <c r="C1572" s="1">
        <v>1</v>
      </c>
    </row>
    <row r="1573" spans="1:3" x14ac:dyDescent="0.25">
      <c r="A1573" s="1" t="s">
        <v>40</v>
      </c>
      <c r="B1573" s="1">
        <v>109.6</v>
      </c>
      <c r="C1573" s="1">
        <v>2</v>
      </c>
    </row>
    <row r="1574" spans="1:3" x14ac:dyDescent="0.25">
      <c r="A1574" s="1" t="s">
        <v>9</v>
      </c>
      <c r="B1574" s="1">
        <v>54.8</v>
      </c>
      <c r="C1574" s="1">
        <v>1</v>
      </c>
    </row>
    <row r="1575" spans="1:3" x14ac:dyDescent="0.25">
      <c r="A1575" s="1" t="s">
        <v>18</v>
      </c>
      <c r="B1575" s="1">
        <v>76.8</v>
      </c>
      <c r="C1575" s="1">
        <v>2</v>
      </c>
    </row>
    <row r="1576" spans="1:3" x14ac:dyDescent="0.25">
      <c r="A1576" s="1" t="s">
        <v>49</v>
      </c>
      <c r="B1576" s="1">
        <v>40</v>
      </c>
      <c r="C1576" s="1">
        <v>1</v>
      </c>
    </row>
    <row r="1577" spans="1:3" x14ac:dyDescent="0.25">
      <c r="A1577" s="1" t="s">
        <v>19</v>
      </c>
      <c r="B1577" s="1">
        <v>28.75</v>
      </c>
      <c r="C1577" s="1">
        <v>1</v>
      </c>
    </row>
    <row r="1578" spans="1:3" x14ac:dyDescent="0.25">
      <c r="A1578" s="1" t="s">
        <v>20</v>
      </c>
      <c r="B1578" s="1">
        <v>115.2</v>
      </c>
      <c r="C1578" s="1">
        <v>3</v>
      </c>
    </row>
    <row r="1579" spans="1:3" x14ac:dyDescent="0.25">
      <c r="A1579" s="1" t="s">
        <v>13</v>
      </c>
      <c r="B1579" s="1">
        <v>38.4</v>
      </c>
      <c r="C1579" s="1">
        <v>1</v>
      </c>
    </row>
    <row r="1580" spans="1:3" x14ac:dyDescent="0.25">
      <c r="A1580" s="1" t="s">
        <v>25</v>
      </c>
      <c r="B1580" s="1">
        <v>40</v>
      </c>
      <c r="C1580" s="1">
        <v>1</v>
      </c>
    </row>
    <row r="1581" spans="1:3" x14ac:dyDescent="0.25">
      <c r="A1581" s="1" t="s">
        <v>44</v>
      </c>
      <c r="B1581" s="1">
        <v>38.4</v>
      </c>
      <c r="C1581" s="1">
        <v>1</v>
      </c>
    </row>
    <row r="1582" spans="1:3" x14ac:dyDescent="0.25">
      <c r="A1582" s="1" t="s">
        <v>52</v>
      </c>
      <c r="B1582" s="1">
        <v>64</v>
      </c>
      <c r="C1582" s="1">
        <v>1</v>
      </c>
    </row>
    <row r="1583" spans="1:3" x14ac:dyDescent="0.25">
      <c r="A1583" s="1" t="s">
        <v>45</v>
      </c>
      <c r="B1583" s="1">
        <v>28.75</v>
      </c>
      <c r="C1583" s="1">
        <v>1</v>
      </c>
    </row>
    <row r="1584" spans="1:3" x14ac:dyDescent="0.25">
      <c r="A1584" s="1" t="s">
        <v>16</v>
      </c>
      <c r="B1584" s="1">
        <v>35.200000000000003</v>
      </c>
      <c r="C1584" s="1">
        <v>1</v>
      </c>
    </row>
    <row r="1585" spans="1:3" x14ac:dyDescent="0.25">
      <c r="A1585" s="1" t="s">
        <v>130</v>
      </c>
      <c r="B1585" s="1"/>
      <c r="C1585" s="1"/>
    </row>
    <row r="1586" spans="1:3" x14ac:dyDescent="0.25">
      <c r="A1586" s="1" t="s">
        <v>1</v>
      </c>
      <c r="B1586" s="1">
        <v>57</v>
      </c>
      <c r="C1586" s="1"/>
    </row>
    <row r="1587" spans="1:3" x14ac:dyDescent="0.25">
      <c r="A1587" s="1" t="s">
        <v>2</v>
      </c>
      <c r="B1587" s="1">
        <v>2285.34</v>
      </c>
      <c r="C1587" s="1"/>
    </row>
    <row r="1588" spans="1:3" x14ac:dyDescent="0.25">
      <c r="A1588" s="1" t="s">
        <v>3</v>
      </c>
      <c r="B1588" s="1" t="s">
        <v>4</v>
      </c>
      <c r="C1588" s="1" t="s">
        <v>5</v>
      </c>
    </row>
    <row r="1589" spans="1:3" x14ac:dyDescent="0.25">
      <c r="A1589" s="1" t="s">
        <v>8</v>
      </c>
      <c r="B1589" s="1">
        <v>383.6</v>
      </c>
      <c r="C1589" s="1">
        <v>7</v>
      </c>
    </row>
    <row r="1590" spans="1:3" x14ac:dyDescent="0.25">
      <c r="A1590" s="1" t="s">
        <v>21</v>
      </c>
      <c r="B1590" s="1">
        <v>54.8</v>
      </c>
      <c r="C1590" s="1">
        <v>1</v>
      </c>
    </row>
    <row r="1591" spans="1:3" x14ac:dyDescent="0.25">
      <c r="A1591" s="1" t="s">
        <v>22</v>
      </c>
      <c r="B1591" s="1">
        <v>109.6</v>
      </c>
      <c r="C1591" s="1">
        <v>2</v>
      </c>
    </row>
    <row r="1592" spans="1:3" x14ac:dyDescent="0.25">
      <c r="A1592" s="1" t="s">
        <v>17</v>
      </c>
      <c r="B1592" s="1">
        <v>38.4</v>
      </c>
      <c r="C1592" s="1">
        <v>1</v>
      </c>
    </row>
    <row r="1593" spans="1:3" x14ac:dyDescent="0.25">
      <c r="A1593" s="1" t="s">
        <v>49</v>
      </c>
      <c r="B1593" s="1">
        <v>160</v>
      </c>
      <c r="C1593" s="1">
        <v>4</v>
      </c>
    </row>
    <row r="1594" spans="1:3" x14ac:dyDescent="0.25">
      <c r="A1594" s="1" t="s">
        <v>20</v>
      </c>
      <c r="B1594" s="1">
        <v>345.6</v>
      </c>
      <c r="C1594" s="1">
        <v>10</v>
      </c>
    </row>
    <row r="1595" spans="1:3" x14ac:dyDescent="0.25">
      <c r="A1595" s="1" t="s">
        <v>16</v>
      </c>
      <c r="B1595" s="1">
        <v>105.6</v>
      </c>
      <c r="C1595" s="1">
        <v>3</v>
      </c>
    </row>
    <row r="1596" spans="1:3" x14ac:dyDescent="0.25">
      <c r="A1596" s="1" t="s">
        <v>14</v>
      </c>
      <c r="B1596" s="1">
        <v>28.75</v>
      </c>
      <c r="C1596" s="1">
        <v>1</v>
      </c>
    </row>
    <row r="1597" spans="1:3" x14ac:dyDescent="0.25">
      <c r="A1597" s="1" t="s">
        <v>12</v>
      </c>
      <c r="B1597" s="1">
        <v>175</v>
      </c>
      <c r="C1597" s="1">
        <v>5</v>
      </c>
    </row>
    <row r="1598" spans="1:3" x14ac:dyDescent="0.25">
      <c r="A1598" s="1" t="s">
        <v>9</v>
      </c>
      <c r="B1598" s="1">
        <v>54.8</v>
      </c>
      <c r="C1598" s="1">
        <v>1</v>
      </c>
    </row>
    <row r="1599" spans="1:3" x14ac:dyDescent="0.25">
      <c r="A1599" s="1" t="s">
        <v>13</v>
      </c>
      <c r="B1599" s="1">
        <v>76.8</v>
      </c>
      <c r="C1599" s="1">
        <v>2</v>
      </c>
    </row>
    <row r="1600" spans="1:3" x14ac:dyDescent="0.25">
      <c r="A1600" s="1" t="s">
        <v>40</v>
      </c>
      <c r="B1600" s="1">
        <v>109.6</v>
      </c>
      <c r="C1600" s="1">
        <v>2</v>
      </c>
    </row>
    <row r="1601" spans="1:3" x14ac:dyDescent="0.25">
      <c r="A1601" s="1" t="s">
        <v>29</v>
      </c>
      <c r="B1601" s="1">
        <v>38.4</v>
      </c>
      <c r="C1601" s="1">
        <v>1</v>
      </c>
    </row>
    <row r="1602" spans="1:3" x14ac:dyDescent="0.25">
      <c r="A1602" s="1" t="s">
        <v>51</v>
      </c>
      <c r="B1602" s="1">
        <v>38.4</v>
      </c>
      <c r="C1602" s="1">
        <v>1</v>
      </c>
    </row>
    <row r="1603" spans="1:3" x14ac:dyDescent="0.25">
      <c r="A1603" s="1" t="s">
        <v>33</v>
      </c>
      <c r="B1603" s="1">
        <v>40</v>
      </c>
      <c r="C1603" s="1">
        <v>1</v>
      </c>
    </row>
    <row r="1604" spans="1:3" x14ac:dyDescent="0.25">
      <c r="A1604" s="1" t="s">
        <v>15</v>
      </c>
      <c r="B1604" s="1">
        <v>340</v>
      </c>
      <c r="C1604" s="1">
        <v>10</v>
      </c>
    </row>
    <row r="1605" spans="1:3" x14ac:dyDescent="0.25">
      <c r="A1605" s="1" t="s">
        <v>18</v>
      </c>
      <c r="B1605" s="1">
        <v>115.2</v>
      </c>
      <c r="C1605" s="1">
        <v>3</v>
      </c>
    </row>
    <row r="1606" spans="1:3" x14ac:dyDescent="0.25">
      <c r="A1606" s="1" t="s">
        <v>30</v>
      </c>
      <c r="B1606" s="1">
        <v>15.99</v>
      </c>
      <c r="C1606" s="1">
        <v>1</v>
      </c>
    </row>
    <row r="1607" spans="1:3" x14ac:dyDescent="0.25">
      <c r="A1607" s="1" t="s">
        <v>6</v>
      </c>
      <c r="B1607" s="1">
        <v>54.8</v>
      </c>
      <c r="C1607" s="1">
        <v>1</v>
      </c>
    </row>
    <row r="1608" spans="1:3" x14ac:dyDescent="0.25">
      <c r="A1608" s="1" t="s">
        <v>131</v>
      </c>
      <c r="B1608" s="1"/>
      <c r="C1608" s="1"/>
    </row>
    <row r="1609" spans="1:3" x14ac:dyDescent="0.25">
      <c r="A1609" s="1" t="s">
        <v>1</v>
      </c>
      <c r="B1609" s="1">
        <v>46</v>
      </c>
      <c r="C1609" s="1"/>
    </row>
    <row r="1610" spans="1:3" x14ac:dyDescent="0.25">
      <c r="A1610" s="1" t="s">
        <v>2</v>
      </c>
      <c r="B1610" s="1">
        <v>1930.2</v>
      </c>
      <c r="C1610" s="1"/>
    </row>
    <row r="1611" spans="1:3" x14ac:dyDescent="0.25">
      <c r="A1611" s="1" t="s">
        <v>3</v>
      </c>
      <c r="B1611" s="1" t="s">
        <v>4</v>
      </c>
      <c r="C1611" s="1" t="s">
        <v>5</v>
      </c>
    </row>
    <row r="1612" spans="1:3" x14ac:dyDescent="0.25">
      <c r="A1612" s="1" t="s">
        <v>10</v>
      </c>
      <c r="B1612" s="1">
        <v>38.4</v>
      </c>
      <c r="C1612" s="1">
        <v>1</v>
      </c>
    </row>
    <row r="1613" spans="1:3" x14ac:dyDescent="0.25">
      <c r="A1613" s="1" t="s">
        <v>26</v>
      </c>
      <c r="B1613" s="1">
        <v>37.5</v>
      </c>
      <c r="C1613" s="1">
        <v>1</v>
      </c>
    </row>
    <row r="1614" spans="1:3" x14ac:dyDescent="0.25">
      <c r="A1614" s="1" t="s">
        <v>40</v>
      </c>
      <c r="B1614" s="1">
        <v>164.4</v>
      </c>
      <c r="C1614" s="1">
        <v>3</v>
      </c>
    </row>
    <row r="1615" spans="1:3" x14ac:dyDescent="0.25">
      <c r="A1615" s="1" t="s">
        <v>17</v>
      </c>
      <c r="B1615" s="1">
        <v>230.4</v>
      </c>
      <c r="C1615" s="1">
        <v>6</v>
      </c>
    </row>
    <row r="1616" spans="1:3" x14ac:dyDescent="0.25">
      <c r="A1616" s="1" t="s">
        <v>20</v>
      </c>
      <c r="B1616" s="1">
        <v>230.4</v>
      </c>
      <c r="C1616" s="1">
        <v>6</v>
      </c>
    </row>
    <row r="1617" spans="1:3" x14ac:dyDescent="0.25">
      <c r="A1617" s="1" t="s">
        <v>15</v>
      </c>
      <c r="B1617" s="1">
        <v>68</v>
      </c>
      <c r="C1617" s="1">
        <v>1</v>
      </c>
    </row>
    <row r="1618" spans="1:3" x14ac:dyDescent="0.25">
      <c r="A1618" s="1" t="s">
        <v>18</v>
      </c>
      <c r="B1618" s="1">
        <v>268.8</v>
      </c>
      <c r="C1618" s="1">
        <v>7</v>
      </c>
    </row>
    <row r="1619" spans="1:3" x14ac:dyDescent="0.25">
      <c r="A1619" s="1" t="s">
        <v>8</v>
      </c>
      <c r="B1619" s="1">
        <v>164.4</v>
      </c>
      <c r="C1619" s="1">
        <v>3</v>
      </c>
    </row>
    <row r="1620" spans="1:3" x14ac:dyDescent="0.25">
      <c r="A1620" s="1" t="s">
        <v>32</v>
      </c>
      <c r="B1620" s="1">
        <v>38.4</v>
      </c>
      <c r="C1620" s="1">
        <v>1</v>
      </c>
    </row>
    <row r="1621" spans="1:3" x14ac:dyDescent="0.25">
      <c r="A1621" s="1" t="s">
        <v>14</v>
      </c>
      <c r="B1621" s="1">
        <v>28.75</v>
      </c>
      <c r="C1621" s="1">
        <v>1</v>
      </c>
    </row>
    <row r="1622" spans="1:3" x14ac:dyDescent="0.25">
      <c r="A1622" s="1" t="s">
        <v>12</v>
      </c>
      <c r="B1622" s="1">
        <v>210</v>
      </c>
      <c r="C1622" s="1">
        <v>6</v>
      </c>
    </row>
    <row r="1623" spans="1:3" x14ac:dyDescent="0.25">
      <c r="A1623" s="1" t="s">
        <v>21</v>
      </c>
      <c r="B1623" s="1">
        <v>164.4</v>
      </c>
      <c r="C1623" s="1">
        <v>3</v>
      </c>
    </row>
    <row r="1624" spans="1:3" x14ac:dyDescent="0.25">
      <c r="A1624" s="1" t="s">
        <v>36</v>
      </c>
      <c r="B1624" s="1">
        <v>38.4</v>
      </c>
      <c r="C1624" s="1">
        <v>1</v>
      </c>
    </row>
    <row r="1625" spans="1:3" x14ac:dyDescent="0.25">
      <c r="A1625" s="1" t="s">
        <v>41</v>
      </c>
      <c r="B1625" s="1">
        <v>28.75</v>
      </c>
      <c r="C1625" s="1">
        <v>1</v>
      </c>
    </row>
    <row r="1626" spans="1:3" x14ac:dyDescent="0.25">
      <c r="A1626" s="1" t="s">
        <v>33</v>
      </c>
      <c r="B1626" s="1">
        <v>40</v>
      </c>
      <c r="C1626" s="1">
        <v>1</v>
      </c>
    </row>
    <row r="1627" spans="1:3" x14ac:dyDescent="0.25">
      <c r="A1627" s="1" t="s">
        <v>47</v>
      </c>
      <c r="B1627" s="1">
        <v>64</v>
      </c>
      <c r="C1627" s="1">
        <v>1</v>
      </c>
    </row>
    <row r="1628" spans="1:3" x14ac:dyDescent="0.25">
      <c r="A1628" s="1" t="s">
        <v>27</v>
      </c>
      <c r="B1628" s="1">
        <v>38.4</v>
      </c>
      <c r="C1628" s="1">
        <v>1</v>
      </c>
    </row>
    <row r="1629" spans="1:3" x14ac:dyDescent="0.25">
      <c r="A1629" s="1" t="s">
        <v>62</v>
      </c>
      <c r="B1629" s="1">
        <v>38.4</v>
      </c>
      <c r="C1629" s="1">
        <v>1</v>
      </c>
    </row>
    <row r="1630" spans="1:3" x14ac:dyDescent="0.25">
      <c r="A1630" s="1" t="s">
        <v>13</v>
      </c>
      <c r="B1630" s="1">
        <v>38.4</v>
      </c>
      <c r="C1630" s="1">
        <v>1</v>
      </c>
    </row>
    <row r="1631" spans="1:3" x14ac:dyDescent="0.25">
      <c r="A1631" s="1" t="s">
        <v>132</v>
      </c>
      <c r="B1631" s="1"/>
      <c r="C1631" s="1"/>
    </row>
    <row r="1632" spans="1:3" x14ac:dyDescent="0.25">
      <c r="A1632" s="1" t="s">
        <v>1</v>
      </c>
      <c r="B1632" s="1">
        <v>34</v>
      </c>
      <c r="C1632" s="1"/>
    </row>
    <row r="1633" spans="1:3" x14ac:dyDescent="0.25">
      <c r="A1633" s="1" t="s">
        <v>2</v>
      </c>
      <c r="B1633" s="1">
        <v>1395.05</v>
      </c>
      <c r="C1633" s="1"/>
    </row>
    <row r="1634" spans="1:3" x14ac:dyDescent="0.25">
      <c r="A1634" s="1" t="s">
        <v>3</v>
      </c>
      <c r="B1634" s="1" t="s">
        <v>4</v>
      </c>
      <c r="C1634" s="1" t="s">
        <v>5</v>
      </c>
    </row>
    <row r="1635" spans="1:3" x14ac:dyDescent="0.25">
      <c r="A1635" s="1" t="s">
        <v>15</v>
      </c>
      <c r="B1635" s="1">
        <v>68</v>
      </c>
      <c r="C1635" s="1">
        <v>1</v>
      </c>
    </row>
    <row r="1636" spans="1:3" x14ac:dyDescent="0.25">
      <c r="A1636" s="1" t="s">
        <v>8</v>
      </c>
      <c r="B1636" s="1">
        <v>164.4</v>
      </c>
      <c r="C1636" s="1">
        <v>3</v>
      </c>
    </row>
    <row r="1637" spans="1:3" x14ac:dyDescent="0.25">
      <c r="A1637" s="1" t="s">
        <v>33</v>
      </c>
      <c r="B1637" s="1">
        <v>120</v>
      </c>
      <c r="C1637" s="1">
        <v>3</v>
      </c>
    </row>
    <row r="1638" spans="1:3" x14ac:dyDescent="0.25">
      <c r="A1638" s="1" t="s">
        <v>21</v>
      </c>
      <c r="B1638" s="1">
        <v>54.8</v>
      </c>
      <c r="C1638" s="1">
        <v>1</v>
      </c>
    </row>
    <row r="1639" spans="1:3" x14ac:dyDescent="0.25">
      <c r="A1639" s="1" t="s">
        <v>20</v>
      </c>
      <c r="B1639" s="1">
        <v>345.6</v>
      </c>
      <c r="C1639" s="1">
        <v>11</v>
      </c>
    </row>
    <row r="1640" spans="1:3" x14ac:dyDescent="0.25">
      <c r="A1640" s="1" t="s">
        <v>50</v>
      </c>
      <c r="B1640" s="1">
        <v>42.5</v>
      </c>
      <c r="C1640" s="1">
        <v>1</v>
      </c>
    </row>
    <row r="1641" spans="1:3" x14ac:dyDescent="0.25">
      <c r="A1641" s="1" t="s">
        <v>7</v>
      </c>
      <c r="B1641" s="1">
        <v>164.4</v>
      </c>
      <c r="C1641" s="1">
        <v>3</v>
      </c>
    </row>
    <row r="1642" spans="1:3" x14ac:dyDescent="0.25">
      <c r="A1642" s="1" t="s">
        <v>12</v>
      </c>
      <c r="B1642" s="1">
        <v>105</v>
      </c>
      <c r="C1642" s="1">
        <v>3</v>
      </c>
    </row>
    <row r="1643" spans="1:3" x14ac:dyDescent="0.25">
      <c r="A1643" s="1" t="s">
        <v>49</v>
      </c>
      <c r="B1643" s="1">
        <v>80</v>
      </c>
      <c r="C1643" s="1">
        <v>2</v>
      </c>
    </row>
    <row r="1644" spans="1:3" x14ac:dyDescent="0.25">
      <c r="A1644" s="1" t="s">
        <v>16</v>
      </c>
      <c r="B1644" s="1">
        <v>35.200000000000003</v>
      </c>
      <c r="C1644" s="1">
        <v>1</v>
      </c>
    </row>
    <row r="1645" spans="1:3" x14ac:dyDescent="0.25">
      <c r="A1645" s="1" t="s">
        <v>19</v>
      </c>
      <c r="B1645" s="1">
        <v>28.75</v>
      </c>
      <c r="C1645" s="1">
        <v>1</v>
      </c>
    </row>
    <row r="1646" spans="1:3" x14ac:dyDescent="0.25">
      <c r="A1646" s="1" t="s">
        <v>54</v>
      </c>
      <c r="B1646" s="1">
        <v>38.4</v>
      </c>
      <c r="C1646" s="1">
        <v>1</v>
      </c>
    </row>
    <row r="1647" spans="1:3" x14ac:dyDescent="0.25">
      <c r="A1647" s="1" t="s">
        <v>17</v>
      </c>
      <c r="B1647" s="1">
        <v>38.4</v>
      </c>
      <c r="C1647" s="1">
        <v>1</v>
      </c>
    </row>
    <row r="1648" spans="1:3" x14ac:dyDescent="0.25">
      <c r="A1648" s="1" t="s">
        <v>40</v>
      </c>
      <c r="B1648" s="1">
        <v>109.6</v>
      </c>
      <c r="C1648" s="1">
        <v>2</v>
      </c>
    </row>
    <row r="1649" spans="1:3" x14ac:dyDescent="0.25">
      <c r="A1649" s="1" t="s">
        <v>133</v>
      </c>
      <c r="B1649" s="1"/>
      <c r="C1649" s="1"/>
    </row>
    <row r="1650" spans="1:3" x14ac:dyDescent="0.25">
      <c r="A1650" s="1" t="s">
        <v>1</v>
      </c>
      <c r="B1650" s="1">
        <v>90</v>
      </c>
      <c r="C1650" s="1"/>
    </row>
    <row r="1651" spans="1:3" x14ac:dyDescent="0.25">
      <c r="A1651" s="1" t="s">
        <v>2</v>
      </c>
      <c r="B1651" s="1">
        <v>3336.61</v>
      </c>
      <c r="C1651" s="1"/>
    </row>
    <row r="1652" spans="1:3" x14ac:dyDescent="0.25">
      <c r="A1652" s="1" t="s">
        <v>3</v>
      </c>
      <c r="B1652" s="1" t="s">
        <v>4</v>
      </c>
      <c r="C1652" s="1" t="s">
        <v>5</v>
      </c>
    </row>
    <row r="1653" spans="1:3" x14ac:dyDescent="0.25">
      <c r="A1653" s="1" t="s">
        <v>7</v>
      </c>
      <c r="B1653" s="1">
        <v>274</v>
      </c>
      <c r="C1653" s="1">
        <v>5</v>
      </c>
    </row>
    <row r="1654" spans="1:3" x14ac:dyDescent="0.25">
      <c r="A1654" s="1" t="s">
        <v>8</v>
      </c>
      <c r="B1654" s="1">
        <v>383.6</v>
      </c>
      <c r="C1654" s="1">
        <v>7</v>
      </c>
    </row>
    <row r="1655" spans="1:3" x14ac:dyDescent="0.25">
      <c r="A1655" s="1" t="s">
        <v>18</v>
      </c>
      <c r="B1655" s="1">
        <v>192</v>
      </c>
      <c r="C1655" s="1">
        <v>5</v>
      </c>
    </row>
    <row r="1656" spans="1:3" x14ac:dyDescent="0.25">
      <c r="A1656" s="1" t="s">
        <v>20</v>
      </c>
      <c r="B1656" s="1">
        <v>614.4</v>
      </c>
      <c r="C1656" s="1">
        <v>19</v>
      </c>
    </row>
    <row r="1657" spans="1:3" x14ac:dyDescent="0.25">
      <c r="A1657" s="1" t="s">
        <v>49</v>
      </c>
      <c r="B1657" s="1">
        <v>160</v>
      </c>
      <c r="C1657" s="1">
        <v>4</v>
      </c>
    </row>
    <row r="1658" spans="1:3" x14ac:dyDescent="0.25">
      <c r="A1658" s="1" t="s">
        <v>10</v>
      </c>
      <c r="B1658" s="1">
        <v>38.4</v>
      </c>
      <c r="C1658" s="1">
        <v>1</v>
      </c>
    </row>
    <row r="1659" spans="1:3" x14ac:dyDescent="0.25">
      <c r="A1659" s="1" t="s">
        <v>17</v>
      </c>
      <c r="B1659" s="1">
        <v>153.6</v>
      </c>
      <c r="C1659" s="1">
        <v>4</v>
      </c>
    </row>
    <row r="1660" spans="1:3" x14ac:dyDescent="0.25">
      <c r="A1660" s="1" t="s">
        <v>12</v>
      </c>
      <c r="B1660" s="1">
        <v>175</v>
      </c>
      <c r="C1660" s="1">
        <v>5</v>
      </c>
    </row>
    <row r="1661" spans="1:3" x14ac:dyDescent="0.25">
      <c r="A1661" s="1" t="s">
        <v>6</v>
      </c>
      <c r="B1661" s="1">
        <v>219.2</v>
      </c>
      <c r="C1661" s="1">
        <v>13</v>
      </c>
    </row>
    <row r="1662" spans="1:3" x14ac:dyDescent="0.25">
      <c r="A1662" s="1" t="s">
        <v>32</v>
      </c>
      <c r="B1662" s="1">
        <v>115.2</v>
      </c>
      <c r="C1662" s="1">
        <v>5</v>
      </c>
    </row>
    <row r="1663" spans="1:3" x14ac:dyDescent="0.25">
      <c r="A1663" s="1" t="s">
        <v>21</v>
      </c>
      <c r="B1663" s="1">
        <v>383.6</v>
      </c>
      <c r="C1663" s="1">
        <v>7</v>
      </c>
    </row>
    <row r="1664" spans="1:3" x14ac:dyDescent="0.25">
      <c r="A1664" s="1" t="s">
        <v>22</v>
      </c>
      <c r="B1664" s="1">
        <v>54.8</v>
      </c>
      <c r="C1664" s="1">
        <v>1</v>
      </c>
    </row>
    <row r="1665" spans="1:3" x14ac:dyDescent="0.25">
      <c r="A1665" s="1" t="s">
        <v>54</v>
      </c>
      <c r="B1665" s="1">
        <v>153.6</v>
      </c>
      <c r="C1665" s="1">
        <v>4</v>
      </c>
    </row>
    <row r="1666" spans="1:3" x14ac:dyDescent="0.25">
      <c r="A1666" s="1" t="s">
        <v>51</v>
      </c>
      <c r="B1666" s="1">
        <v>38.4</v>
      </c>
      <c r="C1666" s="1">
        <v>1</v>
      </c>
    </row>
    <row r="1667" spans="1:3" x14ac:dyDescent="0.25">
      <c r="A1667" s="1" t="s">
        <v>31</v>
      </c>
      <c r="B1667" s="1">
        <v>34.56</v>
      </c>
      <c r="C1667" s="1">
        <v>1</v>
      </c>
    </row>
    <row r="1668" spans="1:3" x14ac:dyDescent="0.25">
      <c r="A1668" s="1" t="s">
        <v>41</v>
      </c>
      <c r="B1668" s="1">
        <v>28.75</v>
      </c>
      <c r="C1668" s="1">
        <v>1</v>
      </c>
    </row>
    <row r="1669" spans="1:3" x14ac:dyDescent="0.25">
      <c r="A1669" s="1" t="s">
        <v>52</v>
      </c>
      <c r="B1669" s="1">
        <v>64</v>
      </c>
      <c r="C1669" s="1">
        <v>1</v>
      </c>
    </row>
    <row r="1670" spans="1:3" x14ac:dyDescent="0.25">
      <c r="A1670" s="1" t="s">
        <v>36</v>
      </c>
      <c r="B1670" s="1">
        <v>38.4</v>
      </c>
      <c r="C1670" s="1">
        <v>1</v>
      </c>
    </row>
    <row r="1671" spans="1:3" x14ac:dyDescent="0.25">
      <c r="A1671" s="1" t="s">
        <v>67</v>
      </c>
      <c r="B1671" s="1">
        <v>99.9</v>
      </c>
      <c r="C1671" s="1">
        <v>2</v>
      </c>
    </row>
    <row r="1672" spans="1:3" x14ac:dyDescent="0.25">
      <c r="A1672" s="1" t="s">
        <v>33</v>
      </c>
      <c r="B1672" s="1">
        <v>80</v>
      </c>
      <c r="C1672" s="1">
        <v>2</v>
      </c>
    </row>
    <row r="1673" spans="1:3" x14ac:dyDescent="0.25">
      <c r="A1673" s="1" t="s">
        <v>16</v>
      </c>
      <c r="B1673" s="1">
        <v>35.200000000000003</v>
      </c>
      <c r="C1673" s="1">
        <v>1</v>
      </c>
    </row>
    <row r="1674" spans="1:3" x14ac:dyDescent="0.25">
      <c r="A1674" s="1" t="s">
        <v>134</v>
      </c>
      <c r="B1674" s="1"/>
      <c r="C1674" s="1"/>
    </row>
    <row r="1675" spans="1:3" x14ac:dyDescent="0.25">
      <c r="A1675" s="1" t="s">
        <v>1</v>
      </c>
      <c r="B1675" s="1">
        <v>62</v>
      </c>
      <c r="C1675" s="1"/>
    </row>
    <row r="1676" spans="1:3" x14ac:dyDescent="0.25">
      <c r="A1676" s="1" t="s">
        <v>2</v>
      </c>
      <c r="B1676" s="1">
        <v>2680.7</v>
      </c>
      <c r="C1676" s="1"/>
    </row>
    <row r="1677" spans="1:3" x14ac:dyDescent="0.25">
      <c r="A1677" s="1" t="s">
        <v>3</v>
      </c>
      <c r="B1677" s="1" t="s">
        <v>4</v>
      </c>
      <c r="C1677" s="1" t="s">
        <v>5</v>
      </c>
    </row>
    <row r="1678" spans="1:3" x14ac:dyDescent="0.25">
      <c r="A1678" s="1" t="s">
        <v>15</v>
      </c>
      <c r="B1678" s="1">
        <v>68</v>
      </c>
      <c r="C1678" s="1">
        <v>1</v>
      </c>
    </row>
    <row r="1679" spans="1:3" x14ac:dyDescent="0.25">
      <c r="A1679" s="1" t="s">
        <v>49</v>
      </c>
      <c r="B1679" s="1">
        <v>320</v>
      </c>
      <c r="C1679" s="1">
        <v>8</v>
      </c>
    </row>
    <row r="1680" spans="1:3" x14ac:dyDescent="0.25">
      <c r="A1680" s="1" t="s">
        <v>18</v>
      </c>
      <c r="B1680" s="1">
        <v>153.6</v>
      </c>
      <c r="C1680" s="1">
        <v>4</v>
      </c>
    </row>
    <row r="1681" spans="1:3" x14ac:dyDescent="0.25">
      <c r="A1681" s="1" t="s">
        <v>13</v>
      </c>
      <c r="B1681" s="1">
        <v>38.4</v>
      </c>
      <c r="C1681" s="1">
        <v>1</v>
      </c>
    </row>
    <row r="1682" spans="1:3" x14ac:dyDescent="0.25">
      <c r="A1682" s="1" t="s">
        <v>20</v>
      </c>
      <c r="B1682" s="1">
        <v>384</v>
      </c>
      <c r="C1682" s="1">
        <v>12</v>
      </c>
    </row>
    <row r="1683" spans="1:3" x14ac:dyDescent="0.25">
      <c r="A1683" s="1" t="s">
        <v>12</v>
      </c>
      <c r="B1683" s="1">
        <v>140</v>
      </c>
      <c r="C1683" s="1">
        <v>4</v>
      </c>
    </row>
    <row r="1684" spans="1:3" x14ac:dyDescent="0.25">
      <c r="A1684" s="1" t="s">
        <v>21</v>
      </c>
      <c r="B1684" s="1">
        <v>109.6</v>
      </c>
      <c r="C1684" s="1">
        <v>2</v>
      </c>
    </row>
    <row r="1685" spans="1:3" x14ac:dyDescent="0.25">
      <c r="A1685" s="1" t="s">
        <v>8</v>
      </c>
      <c r="B1685" s="1">
        <v>548</v>
      </c>
      <c r="C1685" s="1">
        <v>9</v>
      </c>
    </row>
    <row r="1686" spans="1:3" x14ac:dyDescent="0.25">
      <c r="A1686" s="1" t="s">
        <v>10</v>
      </c>
      <c r="B1686" s="1">
        <v>38.4</v>
      </c>
      <c r="C1686" s="1">
        <v>1</v>
      </c>
    </row>
    <row r="1687" spans="1:3" x14ac:dyDescent="0.25">
      <c r="A1687" s="1" t="s">
        <v>14</v>
      </c>
      <c r="B1687" s="1">
        <v>28.75</v>
      </c>
      <c r="C1687" s="1">
        <v>1</v>
      </c>
    </row>
    <row r="1688" spans="1:3" x14ac:dyDescent="0.25">
      <c r="A1688" s="1" t="s">
        <v>33</v>
      </c>
      <c r="B1688" s="1">
        <v>280</v>
      </c>
      <c r="C1688" s="1">
        <v>7</v>
      </c>
    </row>
    <row r="1689" spans="1:3" x14ac:dyDescent="0.25">
      <c r="A1689" s="1" t="s">
        <v>40</v>
      </c>
      <c r="B1689" s="1">
        <v>328.8</v>
      </c>
      <c r="C1689" s="1">
        <v>6</v>
      </c>
    </row>
    <row r="1690" spans="1:3" x14ac:dyDescent="0.25">
      <c r="A1690" s="1" t="s">
        <v>17</v>
      </c>
      <c r="B1690" s="1">
        <v>38.4</v>
      </c>
      <c r="C1690" s="1">
        <v>1</v>
      </c>
    </row>
    <row r="1691" spans="1:3" x14ac:dyDescent="0.25">
      <c r="A1691" s="1" t="s">
        <v>27</v>
      </c>
      <c r="B1691" s="1">
        <v>38.4</v>
      </c>
      <c r="C1691" s="1">
        <v>1</v>
      </c>
    </row>
    <row r="1692" spans="1:3" x14ac:dyDescent="0.25">
      <c r="A1692" s="1" t="s">
        <v>52</v>
      </c>
      <c r="B1692" s="1">
        <v>64</v>
      </c>
      <c r="C1692" s="1">
        <v>1</v>
      </c>
    </row>
    <row r="1693" spans="1:3" x14ac:dyDescent="0.25">
      <c r="A1693" s="1" t="s">
        <v>16</v>
      </c>
      <c r="B1693" s="1">
        <v>35.200000000000003</v>
      </c>
      <c r="C1693" s="1">
        <v>1</v>
      </c>
    </row>
    <row r="1694" spans="1:3" x14ac:dyDescent="0.25">
      <c r="A1694" s="1" t="s">
        <v>62</v>
      </c>
      <c r="B1694" s="1">
        <v>38.4</v>
      </c>
      <c r="C1694" s="1">
        <v>1</v>
      </c>
    </row>
    <row r="1695" spans="1:3" x14ac:dyDescent="0.25">
      <c r="A1695" s="1" t="s">
        <v>41</v>
      </c>
      <c r="B1695" s="1">
        <v>28.75</v>
      </c>
      <c r="C1695" s="1">
        <v>1</v>
      </c>
    </row>
    <row r="1696" spans="1:3" x14ac:dyDescent="0.25">
      <c r="A1696" s="1" t="s">
        <v>135</v>
      </c>
      <c r="B1696" s="1"/>
      <c r="C1696" s="1"/>
    </row>
    <row r="1697" spans="1:3" x14ac:dyDescent="0.25">
      <c r="A1697" s="1" t="s">
        <v>1</v>
      </c>
      <c r="B1697" s="1">
        <v>47</v>
      </c>
      <c r="C1697" s="1"/>
    </row>
    <row r="1698" spans="1:3" x14ac:dyDescent="0.25">
      <c r="A1698" s="1" t="s">
        <v>2</v>
      </c>
      <c r="B1698" s="1">
        <v>2064.5300000000002</v>
      </c>
      <c r="C1698" s="1"/>
    </row>
    <row r="1699" spans="1:3" x14ac:dyDescent="0.25">
      <c r="A1699" s="1" t="s">
        <v>3</v>
      </c>
      <c r="B1699" s="1" t="s">
        <v>4</v>
      </c>
      <c r="C1699" s="1" t="s">
        <v>5</v>
      </c>
    </row>
    <row r="1700" spans="1:3" x14ac:dyDescent="0.25">
      <c r="A1700" s="1" t="s">
        <v>15</v>
      </c>
      <c r="B1700" s="1">
        <v>340</v>
      </c>
      <c r="C1700" s="1">
        <v>5</v>
      </c>
    </row>
    <row r="1701" spans="1:3" x14ac:dyDescent="0.25">
      <c r="A1701" s="1" t="s">
        <v>7</v>
      </c>
      <c r="B1701" s="1">
        <v>109.6</v>
      </c>
      <c r="C1701" s="1">
        <v>2</v>
      </c>
    </row>
    <row r="1702" spans="1:3" x14ac:dyDescent="0.25">
      <c r="A1702" s="1" t="s">
        <v>6</v>
      </c>
      <c r="B1702" s="1">
        <v>54.8</v>
      </c>
      <c r="C1702" s="1">
        <v>1</v>
      </c>
    </row>
    <row r="1703" spans="1:3" x14ac:dyDescent="0.25">
      <c r="A1703" s="1" t="s">
        <v>20</v>
      </c>
      <c r="B1703" s="1">
        <v>345.6</v>
      </c>
      <c r="C1703" s="1">
        <v>9</v>
      </c>
    </row>
    <row r="1704" spans="1:3" x14ac:dyDescent="0.25">
      <c r="A1704" s="1" t="s">
        <v>49</v>
      </c>
      <c r="B1704" s="1">
        <v>240</v>
      </c>
      <c r="C1704" s="1">
        <v>6</v>
      </c>
    </row>
    <row r="1705" spans="1:3" x14ac:dyDescent="0.25">
      <c r="A1705" s="1" t="s">
        <v>62</v>
      </c>
      <c r="B1705" s="1">
        <v>38.4</v>
      </c>
      <c r="C1705" s="1">
        <v>2</v>
      </c>
    </row>
    <row r="1706" spans="1:3" x14ac:dyDescent="0.25">
      <c r="A1706" s="1" t="s">
        <v>12</v>
      </c>
      <c r="B1706" s="1">
        <v>35</v>
      </c>
      <c r="C1706" s="1">
        <v>1</v>
      </c>
    </row>
    <row r="1707" spans="1:3" x14ac:dyDescent="0.25">
      <c r="A1707" s="1" t="s">
        <v>18</v>
      </c>
      <c r="B1707" s="1">
        <v>153.6</v>
      </c>
      <c r="C1707" s="1">
        <v>4</v>
      </c>
    </row>
    <row r="1708" spans="1:3" x14ac:dyDescent="0.25">
      <c r="A1708" s="1" t="s">
        <v>36</v>
      </c>
      <c r="B1708" s="1">
        <v>76.8</v>
      </c>
      <c r="C1708" s="1">
        <v>2</v>
      </c>
    </row>
    <row r="1709" spans="1:3" x14ac:dyDescent="0.25">
      <c r="A1709" s="1" t="s">
        <v>8</v>
      </c>
      <c r="B1709" s="1">
        <v>219.2</v>
      </c>
      <c r="C1709" s="1">
        <v>4</v>
      </c>
    </row>
    <row r="1710" spans="1:3" x14ac:dyDescent="0.25">
      <c r="A1710" s="1" t="s">
        <v>21</v>
      </c>
      <c r="B1710" s="1">
        <v>164.4</v>
      </c>
      <c r="C1710" s="1">
        <v>3</v>
      </c>
    </row>
    <row r="1711" spans="1:3" x14ac:dyDescent="0.25">
      <c r="A1711" s="1" t="s">
        <v>30</v>
      </c>
      <c r="B1711" s="1">
        <v>31.98</v>
      </c>
      <c r="C1711" s="1">
        <v>2</v>
      </c>
    </row>
    <row r="1712" spans="1:3" x14ac:dyDescent="0.25">
      <c r="A1712" s="1" t="s">
        <v>54</v>
      </c>
      <c r="B1712" s="1">
        <v>76.8</v>
      </c>
      <c r="C1712" s="1">
        <v>2</v>
      </c>
    </row>
    <row r="1713" spans="1:3" x14ac:dyDescent="0.25">
      <c r="A1713" s="1" t="s">
        <v>67</v>
      </c>
      <c r="B1713" s="1">
        <v>49.95</v>
      </c>
      <c r="C1713" s="1">
        <v>1</v>
      </c>
    </row>
    <row r="1714" spans="1:3" x14ac:dyDescent="0.25">
      <c r="A1714" s="1" t="s">
        <v>40</v>
      </c>
      <c r="B1714" s="1">
        <v>54.8</v>
      </c>
      <c r="C1714" s="1">
        <v>1</v>
      </c>
    </row>
    <row r="1715" spans="1:3" x14ac:dyDescent="0.25">
      <c r="A1715" s="1" t="s">
        <v>56</v>
      </c>
      <c r="B1715" s="1">
        <v>38.4</v>
      </c>
      <c r="C1715" s="1">
        <v>1</v>
      </c>
    </row>
    <row r="1716" spans="1:3" x14ac:dyDescent="0.25">
      <c r="A1716" s="1" t="s">
        <v>16</v>
      </c>
      <c r="B1716" s="1">
        <v>35.200000000000003</v>
      </c>
      <c r="C1716" s="1">
        <v>1</v>
      </c>
    </row>
    <row r="1717" spans="1:3" x14ac:dyDescent="0.25">
      <c r="A1717" s="1" t="s">
        <v>136</v>
      </c>
      <c r="B1717" s="1"/>
      <c r="C1717" s="1"/>
    </row>
    <row r="1718" spans="1:3" x14ac:dyDescent="0.25">
      <c r="A1718" s="1" t="s">
        <v>1</v>
      </c>
      <c r="B1718" s="1">
        <v>40</v>
      </c>
      <c r="C1718" s="1"/>
    </row>
    <row r="1719" spans="1:3" x14ac:dyDescent="0.25">
      <c r="A1719" s="1" t="s">
        <v>2</v>
      </c>
      <c r="B1719" s="1">
        <v>1628.15</v>
      </c>
      <c r="C1719" s="1"/>
    </row>
    <row r="1720" spans="1:3" x14ac:dyDescent="0.25">
      <c r="A1720" s="1" t="s">
        <v>3</v>
      </c>
      <c r="B1720" s="1" t="s">
        <v>4</v>
      </c>
      <c r="C1720" s="1" t="s">
        <v>5</v>
      </c>
    </row>
    <row r="1721" spans="1:3" x14ac:dyDescent="0.25">
      <c r="A1721" s="1" t="s">
        <v>21</v>
      </c>
      <c r="B1721" s="1">
        <v>274</v>
      </c>
      <c r="C1721" s="1">
        <v>5</v>
      </c>
    </row>
    <row r="1722" spans="1:3" x14ac:dyDescent="0.25">
      <c r="A1722" s="1" t="s">
        <v>20</v>
      </c>
      <c r="B1722" s="1">
        <v>115.2</v>
      </c>
      <c r="C1722" s="1">
        <v>3</v>
      </c>
    </row>
    <row r="1723" spans="1:3" x14ac:dyDescent="0.25">
      <c r="A1723" s="1" t="s">
        <v>8</v>
      </c>
      <c r="B1723" s="1">
        <v>274</v>
      </c>
      <c r="C1723" s="1">
        <v>8</v>
      </c>
    </row>
    <row r="1724" spans="1:3" x14ac:dyDescent="0.25">
      <c r="A1724" s="1" t="s">
        <v>33</v>
      </c>
      <c r="B1724" s="1">
        <v>80</v>
      </c>
      <c r="C1724" s="1">
        <v>3</v>
      </c>
    </row>
    <row r="1725" spans="1:3" x14ac:dyDescent="0.25">
      <c r="A1725" s="1" t="s">
        <v>17</v>
      </c>
      <c r="B1725" s="1">
        <v>76.8</v>
      </c>
      <c r="C1725" s="1">
        <v>2</v>
      </c>
    </row>
    <row r="1726" spans="1:3" x14ac:dyDescent="0.25">
      <c r="A1726" s="1" t="s">
        <v>49</v>
      </c>
      <c r="B1726" s="1">
        <v>160</v>
      </c>
      <c r="C1726" s="1">
        <v>4</v>
      </c>
    </row>
    <row r="1727" spans="1:3" x14ac:dyDescent="0.25">
      <c r="A1727" s="1" t="s">
        <v>6</v>
      </c>
      <c r="B1727" s="1">
        <v>109.6</v>
      </c>
      <c r="C1727" s="1">
        <v>2</v>
      </c>
    </row>
    <row r="1728" spans="1:3" x14ac:dyDescent="0.25">
      <c r="A1728" s="1" t="s">
        <v>18</v>
      </c>
      <c r="B1728" s="1">
        <v>268.8</v>
      </c>
      <c r="C1728" s="1">
        <v>7</v>
      </c>
    </row>
    <row r="1729" spans="1:3" x14ac:dyDescent="0.25">
      <c r="A1729" s="1" t="s">
        <v>53</v>
      </c>
      <c r="B1729" s="1">
        <v>28.75</v>
      </c>
      <c r="C1729" s="1">
        <v>1</v>
      </c>
    </row>
    <row r="1730" spans="1:3" x14ac:dyDescent="0.25">
      <c r="A1730" s="1" t="s">
        <v>12</v>
      </c>
      <c r="B1730" s="1">
        <v>105</v>
      </c>
      <c r="C1730" s="1">
        <v>3</v>
      </c>
    </row>
    <row r="1731" spans="1:3" x14ac:dyDescent="0.25">
      <c r="A1731" s="1" t="s">
        <v>15</v>
      </c>
      <c r="B1731" s="1">
        <v>136</v>
      </c>
      <c r="C1731" s="1">
        <v>2</v>
      </c>
    </row>
    <row r="1732" spans="1:3" x14ac:dyDescent="0.25">
      <c r="A1732" s="1" t="s">
        <v>137</v>
      </c>
      <c r="B1732" s="1"/>
      <c r="C1732" s="1"/>
    </row>
    <row r="1733" spans="1:3" x14ac:dyDescent="0.25">
      <c r="A1733" s="1" t="s">
        <v>1</v>
      </c>
      <c r="B1733" s="1">
        <v>30</v>
      </c>
      <c r="C1733" s="1"/>
    </row>
    <row r="1734" spans="1:3" x14ac:dyDescent="0.25">
      <c r="A1734" s="1" t="s">
        <v>2</v>
      </c>
      <c r="B1734" s="1">
        <v>1303.95</v>
      </c>
      <c r="C1734" s="1"/>
    </row>
    <row r="1735" spans="1:3" x14ac:dyDescent="0.25">
      <c r="A1735" s="1" t="s">
        <v>3</v>
      </c>
      <c r="B1735" s="1" t="s">
        <v>4</v>
      </c>
      <c r="C1735" s="1" t="s">
        <v>5</v>
      </c>
    </row>
    <row r="1736" spans="1:3" x14ac:dyDescent="0.25">
      <c r="A1736" s="1" t="s">
        <v>8</v>
      </c>
      <c r="B1736" s="1">
        <v>219.2</v>
      </c>
      <c r="C1736" s="1">
        <v>4</v>
      </c>
    </row>
    <row r="1737" spans="1:3" x14ac:dyDescent="0.25">
      <c r="A1737" s="1" t="s">
        <v>6</v>
      </c>
      <c r="B1737" s="1">
        <v>54.8</v>
      </c>
      <c r="C1737" s="1">
        <v>1</v>
      </c>
    </row>
    <row r="1738" spans="1:3" x14ac:dyDescent="0.25">
      <c r="A1738" s="1" t="s">
        <v>7</v>
      </c>
      <c r="B1738" s="1">
        <v>54.8</v>
      </c>
      <c r="C1738" s="1">
        <v>1</v>
      </c>
    </row>
    <row r="1739" spans="1:3" x14ac:dyDescent="0.25">
      <c r="A1739" s="1" t="s">
        <v>12</v>
      </c>
      <c r="B1739" s="1">
        <v>70</v>
      </c>
      <c r="C1739" s="1">
        <v>2</v>
      </c>
    </row>
    <row r="1740" spans="1:3" x14ac:dyDescent="0.25">
      <c r="A1740" s="1" t="s">
        <v>20</v>
      </c>
      <c r="B1740" s="1">
        <v>115.2</v>
      </c>
      <c r="C1740" s="1">
        <v>3</v>
      </c>
    </row>
    <row r="1741" spans="1:3" x14ac:dyDescent="0.25">
      <c r="A1741" s="1" t="s">
        <v>49</v>
      </c>
      <c r="B1741" s="1">
        <v>80</v>
      </c>
      <c r="C1741" s="1">
        <v>2</v>
      </c>
    </row>
    <row r="1742" spans="1:3" x14ac:dyDescent="0.25">
      <c r="A1742" s="1" t="s">
        <v>10</v>
      </c>
      <c r="B1742" s="1">
        <v>38.4</v>
      </c>
      <c r="C1742" s="1">
        <v>1</v>
      </c>
    </row>
    <row r="1743" spans="1:3" x14ac:dyDescent="0.25">
      <c r="A1743" s="1" t="s">
        <v>19</v>
      </c>
      <c r="B1743" s="1">
        <v>28.75</v>
      </c>
      <c r="C1743" s="1">
        <v>1</v>
      </c>
    </row>
    <row r="1744" spans="1:3" x14ac:dyDescent="0.25">
      <c r="A1744" s="1" t="s">
        <v>13</v>
      </c>
      <c r="B1744" s="1">
        <v>76.8</v>
      </c>
      <c r="C1744" s="1">
        <v>2</v>
      </c>
    </row>
    <row r="1745" spans="1:3" x14ac:dyDescent="0.25">
      <c r="A1745" s="1" t="s">
        <v>18</v>
      </c>
      <c r="B1745" s="1">
        <v>153.6</v>
      </c>
      <c r="C1745" s="1">
        <v>4</v>
      </c>
    </row>
    <row r="1746" spans="1:3" x14ac:dyDescent="0.25">
      <c r="A1746" s="1" t="s">
        <v>17</v>
      </c>
      <c r="B1746" s="1">
        <v>153.6</v>
      </c>
      <c r="C1746" s="1">
        <v>4</v>
      </c>
    </row>
    <row r="1747" spans="1:3" x14ac:dyDescent="0.25">
      <c r="A1747" s="1" t="s">
        <v>15</v>
      </c>
      <c r="B1747" s="1">
        <v>204</v>
      </c>
      <c r="C1747" s="1">
        <v>4</v>
      </c>
    </row>
    <row r="1748" spans="1:3" x14ac:dyDescent="0.25">
      <c r="A1748" s="1" t="s">
        <v>40</v>
      </c>
      <c r="B1748" s="1">
        <v>54.8</v>
      </c>
      <c r="C1748" s="1">
        <v>1</v>
      </c>
    </row>
    <row r="1749" spans="1:3" x14ac:dyDescent="0.25">
      <c r="A1749" s="1" t="s">
        <v>138</v>
      </c>
      <c r="B1749" s="1"/>
      <c r="C1749" s="1"/>
    </row>
    <row r="1750" spans="1:3" x14ac:dyDescent="0.25">
      <c r="A1750" s="1" t="s">
        <v>1</v>
      </c>
      <c r="B1750" s="1">
        <v>66</v>
      </c>
      <c r="C1750" s="1"/>
    </row>
    <row r="1751" spans="1:3" x14ac:dyDescent="0.25">
      <c r="A1751" s="1" t="s">
        <v>2</v>
      </c>
      <c r="B1751" s="1">
        <v>2551.19</v>
      </c>
      <c r="C1751" s="1"/>
    </row>
    <row r="1752" spans="1:3" x14ac:dyDescent="0.25">
      <c r="A1752" s="1" t="s">
        <v>3</v>
      </c>
      <c r="B1752" s="1" t="s">
        <v>4</v>
      </c>
      <c r="C1752" s="1" t="s">
        <v>5</v>
      </c>
    </row>
    <row r="1753" spans="1:3" x14ac:dyDescent="0.25">
      <c r="A1753" s="1" t="s">
        <v>22</v>
      </c>
      <c r="B1753" s="1">
        <v>164.4</v>
      </c>
      <c r="C1753" s="1">
        <v>3</v>
      </c>
    </row>
    <row r="1754" spans="1:3" x14ac:dyDescent="0.25">
      <c r="A1754" s="1" t="s">
        <v>17</v>
      </c>
      <c r="B1754" s="1">
        <v>307.2</v>
      </c>
      <c r="C1754" s="1">
        <v>9</v>
      </c>
    </row>
    <row r="1755" spans="1:3" x14ac:dyDescent="0.25">
      <c r="A1755" s="1" t="s">
        <v>8</v>
      </c>
      <c r="B1755" s="1">
        <v>383.6</v>
      </c>
      <c r="C1755" s="1">
        <v>7</v>
      </c>
    </row>
    <row r="1756" spans="1:3" x14ac:dyDescent="0.25">
      <c r="A1756" s="1" t="s">
        <v>20</v>
      </c>
      <c r="B1756" s="1">
        <v>384</v>
      </c>
      <c r="C1756" s="1">
        <v>10</v>
      </c>
    </row>
    <row r="1757" spans="1:3" x14ac:dyDescent="0.25">
      <c r="A1757" s="1" t="s">
        <v>49</v>
      </c>
      <c r="B1757" s="1">
        <v>120</v>
      </c>
      <c r="C1757" s="1">
        <v>3</v>
      </c>
    </row>
    <row r="1758" spans="1:3" x14ac:dyDescent="0.25">
      <c r="A1758" s="1" t="s">
        <v>40</v>
      </c>
      <c r="B1758" s="1">
        <v>274</v>
      </c>
      <c r="C1758" s="1">
        <v>5</v>
      </c>
    </row>
    <row r="1759" spans="1:3" x14ac:dyDescent="0.25">
      <c r="A1759" s="1" t="s">
        <v>12</v>
      </c>
      <c r="B1759" s="1">
        <v>105</v>
      </c>
      <c r="C1759" s="1">
        <v>3</v>
      </c>
    </row>
    <row r="1760" spans="1:3" x14ac:dyDescent="0.25">
      <c r="A1760" s="1" t="s">
        <v>18</v>
      </c>
      <c r="B1760" s="1">
        <v>268.8</v>
      </c>
      <c r="C1760" s="1">
        <v>7</v>
      </c>
    </row>
    <row r="1761" spans="1:3" x14ac:dyDescent="0.25">
      <c r="A1761" s="1" t="s">
        <v>26</v>
      </c>
      <c r="B1761" s="1">
        <v>37.5</v>
      </c>
      <c r="C1761" s="1">
        <v>1</v>
      </c>
    </row>
    <row r="1762" spans="1:3" x14ac:dyDescent="0.25">
      <c r="A1762" s="1" t="s">
        <v>32</v>
      </c>
      <c r="B1762" s="1">
        <v>38.4</v>
      </c>
      <c r="C1762" s="1">
        <v>1</v>
      </c>
    </row>
    <row r="1763" spans="1:3" x14ac:dyDescent="0.25">
      <c r="A1763" s="1" t="s">
        <v>54</v>
      </c>
      <c r="B1763" s="1">
        <v>115.2</v>
      </c>
      <c r="C1763" s="1">
        <v>7</v>
      </c>
    </row>
    <row r="1764" spans="1:3" x14ac:dyDescent="0.25">
      <c r="A1764" s="1" t="s">
        <v>13</v>
      </c>
      <c r="B1764" s="1">
        <v>38.4</v>
      </c>
      <c r="C1764" s="1">
        <v>1</v>
      </c>
    </row>
    <row r="1765" spans="1:3" x14ac:dyDescent="0.25">
      <c r="A1765" s="1" t="s">
        <v>21</v>
      </c>
      <c r="B1765" s="1">
        <v>109.6</v>
      </c>
      <c r="C1765" s="1">
        <v>3</v>
      </c>
    </row>
    <row r="1766" spans="1:3" x14ac:dyDescent="0.25">
      <c r="A1766" s="1" t="s">
        <v>19</v>
      </c>
      <c r="B1766" s="1">
        <v>28.75</v>
      </c>
      <c r="C1766" s="1">
        <v>1</v>
      </c>
    </row>
    <row r="1767" spans="1:3" x14ac:dyDescent="0.25">
      <c r="A1767" s="1" t="s">
        <v>30</v>
      </c>
      <c r="B1767" s="1">
        <v>15.99</v>
      </c>
      <c r="C1767" s="1">
        <v>1</v>
      </c>
    </row>
    <row r="1768" spans="1:3" x14ac:dyDescent="0.25">
      <c r="A1768" s="1" t="s">
        <v>7</v>
      </c>
      <c r="B1768" s="1">
        <v>54.8</v>
      </c>
      <c r="C1768" s="1">
        <v>1</v>
      </c>
    </row>
    <row r="1769" spans="1:3" x14ac:dyDescent="0.25">
      <c r="A1769" s="1" t="s">
        <v>62</v>
      </c>
      <c r="B1769" s="1">
        <v>38.4</v>
      </c>
      <c r="C1769" s="1">
        <v>1</v>
      </c>
    </row>
    <row r="1770" spans="1:3" x14ac:dyDescent="0.25">
      <c r="A1770" s="1" t="s">
        <v>45</v>
      </c>
      <c r="B1770" s="1">
        <v>28.75</v>
      </c>
      <c r="C1770" s="1">
        <v>1</v>
      </c>
    </row>
    <row r="1771" spans="1:3" x14ac:dyDescent="0.25">
      <c r="A1771" s="1" t="s">
        <v>27</v>
      </c>
      <c r="B1771" s="1">
        <v>38.4</v>
      </c>
      <c r="C1771" s="1">
        <v>1</v>
      </c>
    </row>
    <row r="1772" spans="1:3" x14ac:dyDescent="0.25">
      <c r="A1772" s="1" t="s">
        <v>139</v>
      </c>
      <c r="B1772" s="1"/>
      <c r="C1772" s="1"/>
    </row>
    <row r="1773" spans="1:3" x14ac:dyDescent="0.25">
      <c r="A1773" s="1" t="s">
        <v>1</v>
      </c>
      <c r="B1773" s="1">
        <v>22</v>
      </c>
      <c r="C1773" s="1"/>
    </row>
    <row r="1774" spans="1:3" x14ac:dyDescent="0.25">
      <c r="A1774" s="1" t="s">
        <v>2</v>
      </c>
      <c r="B1774" s="1">
        <v>899.56</v>
      </c>
      <c r="C1774" s="1"/>
    </row>
    <row r="1775" spans="1:3" x14ac:dyDescent="0.25">
      <c r="A1775" s="1" t="s">
        <v>3</v>
      </c>
      <c r="B1775" s="1" t="s">
        <v>4</v>
      </c>
      <c r="C1775" s="1" t="s">
        <v>5</v>
      </c>
    </row>
    <row r="1776" spans="1:3" x14ac:dyDescent="0.25">
      <c r="A1776" s="1" t="s">
        <v>33</v>
      </c>
      <c r="B1776" s="1">
        <v>400</v>
      </c>
      <c r="C1776" s="1">
        <v>10</v>
      </c>
    </row>
    <row r="1777" spans="1:3" x14ac:dyDescent="0.25">
      <c r="A1777" s="1" t="s">
        <v>21</v>
      </c>
      <c r="B1777" s="1">
        <v>109.6</v>
      </c>
      <c r="C1777" s="1">
        <v>2</v>
      </c>
    </row>
    <row r="1778" spans="1:3" x14ac:dyDescent="0.25">
      <c r="A1778" s="1" t="s">
        <v>12</v>
      </c>
      <c r="B1778" s="1">
        <v>35</v>
      </c>
      <c r="C1778" s="1">
        <v>1</v>
      </c>
    </row>
    <row r="1779" spans="1:3" x14ac:dyDescent="0.25">
      <c r="A1779" s="1" t="s">
        <v>20</v>
      </c>
      <c r="B1779" s="1">
        <v>76.8</v>
      </c>
      <c r="C1779" s="1">
        <v>2</v>
      </c>
    </row>
    <row r="1780" spans="1:3" x14ac:dyDescent="0.25">
      <c r="A1780" s="1" t="s">
        <v>16</v>
      </c>
      <c r="B1780" s="1">
        <v>35.200000000000003</v>
      </c>
      <c r="C1780" s="1">
        <v>1</v>
      </c>
    </row>
    <row r="1781" spans="1:3" x14ac:dyDescent="0.25">
      <c r="A1781" s="1" t="s">
        <v>51</v>
      </c>
      <c r="B1781" s="1">
        <v>38.4</v>
      </c>
      <c r="C1781" s="1">
        <v>1</v>
      </c>
    </row>
    <row r="1782" spans="1:3" x14ac:dyDescent="0.25">
      <c r="A1782" s="1" t="s">
        <v>36</v>
      </c>
      <c r="B1782" s="1">
        <v>34.56</v>
      </c>
      <c r="C1782" s="1">
        <v>1</v>
      </c>
    </row>
    <row r="1783" spans="1:3" x14ac:dyDescent="0.25">
      <c r="A1783" s="1" t="s">
        <v>55</v>
      </c>
      <c r="B1783" s="1">
        <v>38.4</v>
      </c>
      <c r="C1783" s="1">
        <v>1</v>
      </c>
    </row>
    <row r="1784" spans="1:3" x14ac:dyDescent="0.25">
      <c r="A1784" s="1" t="s">
        <v>18</v>
      </c>
      <c r="B1784" s="1">
        <v>38.4</v>
      </c>
      <c r="C1784" s="1">
        <v>1</v>
      </c>
    </row>
    <row r="1785" spans="1:3" x14ac:dyDescent="0.25">
      <c r="A1785" s="1" t="s">
        <v>62</v>
      </c>
      <c r="B1785" s="1">
        <v>38.4</v>
      </c>
      <c r="C1785" s="1">
        <v>1</v>
      </c>
    </row>
    <row r="1786" spans="1:3" x14ac:dyDescent="0.25">
      <c r="A1786" s="1" t="s">
        <v>40</v>
      </c>
      <c r="B1786" s="1">
        <v>54.8</v>
      </c>
      <c r="C1786" s="1">
        <v>1</v>
      </c>
    </row>
    <row r="1787" spans="1:3" x14ac:dyDescent="0.25">
      <c r="A1787" s="1" t="s">
        <v>140</v>
      </c>
      <c r="B1787" s="1"/>
      <c r="C1787" s="1"/>
    </row>
    <row r="1788" spans="1:3" x14ac:dyDescent="0.25">
      <c r="A1788" s="1" t="s">
        <v>1</v>
      </c>
      <c r="B1788" s="1">
        <v>63</v>
      </c>
      <c r="C1788" s="1"/>
    </row>
    <row r="1789" spans="1:3" x14ac:dyDescent="0.25">
      <c r="A1789" s="1" t="s">
        <v>2</v>
      </c>
      <c r="B1789" s="1">
        <v>2620.9899999999998</v>
      </c>
      <c r="C1789" s="1"/>
    </row>
    <row r="1790" spans="1:3" x14ac:dyDescent="0.25">
      <c r="A1790" s="1" t="s">
        <v>3</v>
      </c>
      <c r="B1790" s="1" t="s">
        <v>4</v>
      </c>
      <c r="C1790" s="1" t="s">
        <v>5</v>
      </c>
    </row>
    <row r="1791" spans="1:3" x14ac:dyDescent="0.25">
      <c r="A1791" s="1" t="s">
        <v>20</v>
      </c>
      <c r="B1791" s="1">
        <v>76.8</v>
      </c>
      <c r="C1791" s="1">
        <v>2</v>
      </c>
    </row>
    <row r="1792" spans="1:3" x14ac:dyDescent="0.25">
      <c r="A1792" s="1" t="s">
        <v>8</v>
      </c>
      <c r="B1792" s="1">
        <v>712.4</v>
      </c>
      <c r="C1792" s="1">
        <v>13</v>
      </c>
    </row>
    <row r="1793" spans="1:3" x14ac:dyDescent="0.25">
      <c r="A1793" s="1" t="s">
        <v>12</v>
      </c>
      <c r="B1793" s="1">
        <v>245</v>
      </c>
      <c r="C1793" s="1">
        <v>7</v>
      </c>
    </row>
    <row r="1794" spans="1:3" x14ac:dyDescent="0.25">
      <c r="A1794" s="1" t="s">
        <v>57</v>
      </c>
      <c r="B1794" s="1">
        <v>80</v>
      </c>
      <c r="C1794" s="1">
        <v>2</v>
      </c>
    </row>
    <row r="1795" spans="1:3" x14ac:dyDescent="0.25">
      <c r="A1795" s="1" t="s">
        <v>49</v>
      </c>
      <c r="B1795" s="1">
        <v>80</v>
      </c>
      <c r="C1795" s="1">
        <v>2</v>
      </c>
    </row>
    <row r="1796" spans="1:3" x14ac:dyDescent="0.25">
      <c r="A1796" s="1" t="s">
        <v>6</v>
      </c>
      <c r="B1796" s="1">
        <v>164.4</v>
      </c>
      <c r="C1796" s="1">
        <v>3</v>
      </c>
    </row>
    <row r="1797" spans="1:3" x14ac:dyDescent="0.25">
      <c r="A1797" s="1" t="s">
        <v>13</v>
      </c>
      <c r="B1797" s="1">
        <v>38.4</v>
      </c>
      <c r="C1797" s="1">
        <v>1</v>
      </c>
    </row>
    <row r="1798" spans="1:3" x14ac:dyDescent="0.25">
      <c r="A1798" s="1" t="s">
        <v>50</v>
      </c>
      <c r="B1798" s="1">
        <v>42.5</v>
      </c>
      <c r="C1798" s="1">
        <v>1</v>
      </c>
    </row>
    <row r="1799" spans="1:3" x14ac:dyDescent="0.25">
      <c r="A1799" s="1" t="s">
        <v>15</v>
      </c>
      <c r="B1799" s="1">
        <v>136</v>
      </c>
      <c r="C1799" s="1">
        <v>2</v>
      </c>
    </row>
    <row r="1800" spans="1:3" x14ac:dyDescent="0.25">
      <c r="A1800" s="1" t="s">
        <v>62</v>
      </c>
      <c r="B1800" s="1">
        <v>76.8</v>
      </c>
      <c r="C1800" s="1">
        <v>3</v>
      </c>
    </row>
    <row r="1801" spans="1:3" x14ac:dyDescent="0.25">
      <c r="A1801" s="1" t="s">
        <v>30</v>
      </c>
      <c r="B1801" s="1">
        <v>15.99</v>
      </c>
      <c r="C1801" s="1">
        <v>1</v>
      </c>
    </row>
    <row r="1802" spans="1:3" x14ac:dyDescent="0.25">
      <c r="A1802" s="1" t="s">
        <v>17</v>
      </c>
      <c r="B1802" s="1">
        <v>230.4</v>
      </c>
      <c r="C1802" s="1">
        <v>7</v>
      </c>
    </row>
    <row r="1803" spans="1:3" x14ac:dyDescent="0.25">
      <c r="A1803" s="1" t="s">
        <v>16</v>
      </c>
      <c r="B1803" s="1">
        <v>105.6</v>
      </c>
      <c r="C1803" s="1">
        <v>4</v>
      </c>
    </row>
    <row r="1804" spans="1:3" x14ac:dyDescent="0.25">
      <c r="A1804" s="1" t="s">
        <v>18</v>
      </c>
      <c r="B1804" s="1">
        <v>230.4</v>
      </c>
      <c r="C1804" s="1">
        <v>6</v>
      </c>
    </row>
    <row r="1805" spans="1:3" x14ac:dyDescent="0.25">
      <c r="A1805" s="1" t="s">
        <v>40</v>
      </c>
      <c r="B1805" s="1">
        <v>54.8</v>
      </c>
      <c r="C1805" s="1">
        <v>1</v>
      </c>
    </row>
    <row r="1806" spans="1:3" x14ac:dyDescent="0.25">
      <c r="A1806" s="1" t="s">
        <v>53</v>
      </c>
      <c r="B1806" s="1">
        <v>28.75</v>
      </c>
      <c r="C1806" s="1">
        <v>1</v>
      </c>
    </row>
    <row r="1807" spans="1:3" x14ac:dyDescent="0.25">
      <c r="A1807" s="1" t="s">
        <v>35</v>
      </c>
      <c r="B1807" s="1">
        <v>38.4</v>
      </c>
      <c r="C1807" s="1">
        <v>1</v>
      </c>
    </row>
    <row r="1808" spans="1:3" x14ac:dyDescent="0.25">
      <c r="A1808" s="1" t="s">
        <v>33</v>
      </c>
      <c r="B1808" s="1">
        <v>40</v>
      </c>
      <c r="C1808" s="1">
        <v>1</v>
      </c>
    </row>
    <row r="1809" spans="1:3" x14ac:dyDescent="0.25">
      <c r="A1809" s="1" t="s">
        <v>54</v>
      </c>
      <c r="B1809" s="1">
        <v>38.4</v>
      </c>
      <c r="C1809" s="1">
        <v>1</v>
      </c>
    </row>
    <row r="1810" spans="1:3" x14ac:dyDescent="0.25">
      <c r="A1810" s="1" t="s">
        <v>22</v>
      </c>
      <c r="B1810" s="1">
        <v>54.8</v>
      </c>
      <c r="C1810" s="1">
        <v>1</v>
      </c>
    </row>
    <row r="1811" spans="1:3" x14ac:dyDescent="0.25">
      <c r="A1811" s="1" t="s">
        <v>34</v>
      </c>
      <c r="B1811" s="1">
        <v>64</v>
      </c>
      <c r="C1811" s="1">
        <v>1</v>
      </c>
    </row>
    <row r="1812" spans="1:3" x14ac:dyDescent="0.25">
      <c r="A1812" s="1" t="s">
        <v>41</v>
      </c>
      <c r="B1812" s="1">
        <v>28.75</v>
      </c>
      <c r="C1812" s="1">
        <v>1</v>
      </c>
    </row>
    <row r="1813" spans="1:3" x14ac:dyDescent="0.25">
      <c r="A1813" s="1" t="s">
        <v>55</v>
      </c>
      <c r="B1813" s="1">
        <v>38.4</v>
      </c>
      <c r="C1813" s="1">
        <v>1</v>
      </c>
    </row>
    <row r="1814" spans="1:3" x14ac:dyDescent="0.25">
      <c r="A1814" s="1" t="s">
        <v>141</v>
      </c>
      <c r="B1814" s="1"/>
      <c r="C1814" s="1"/>
    </row>
    <row r="1815" spans="1:3" x14ac:dyDescent="0.25">
      <c r="A1815" s="1" t="s">
        <v>1</v>
      </c>
      <c r="B1815" s="1">
        <v>89</v>
      </c>
      <c r="C1815" s="1"/>
    </row>
    <row r="1816" spans="1:3" x14ac:dyDescent="0.25">
      <c r="A1816" s="1" t="s">
        <v>2</v>
      </c>
      <c r="B1816" s="1">
        <v>3348.01</v>
      </c>
      <c r="C1816" s="1"/>
    </row>
    <row r="1817" spans="1:3" x14ac:dyDescent="0.25">
      <c r="A1817" s="1" t="s">
        <v>3</v>
      </c>
      <c r="B1817" s="1" t="s">
        <v>4</v>
      </c>
      <c r="C1817" s="1" t="s">
        <v>5</v>
      </c>
    </row>
    <row r="1818" spans="1:3" x14ac:dyDescent="0.25">
      <c r="A1818" s="1" t="s">
        <v>20</v>
      </c>
      <c r="B1818" s="1">
        <v>230.4</v>
      </c>
      <c r="C1818" s="1">
        <v>6</v>
      </c>
    </row>
    <row r="1819" spans="1:3" x14ac:dyDescent="0.25">
      <c r="A1819" s="1" t="s">
        <v>40</v>
      </c>
      <c r="B1819" s="1">
        <v>219.2</v>
      </c>
      <c r="C1819" s="1">
        <v>5</v>
      </c>
    </row>
    <row r="1820" spans="1:3" x14ac:dyDescent="0.25">
      <c r="A1820" s="1" t="s">
        <v>7</v>
      </c>
      <c r="B1820" s="1">
        <v>109.6</v>
      </c>
      <c r="C1820" s="1">
        <v>2</v>
      </c>
    </row>
    <row r="1821" spans="1:3" x14ac:dyDescent="0.25">
      <c r="A1821" s="1" t="s">
        <v>21</v>
      </c>
      <c r="B1821" s="1">
        <v>219.2</v>
      </c>
      <c r="C1821" s="1">
        <v>4</v>
      </c>
    </row>
    <row r="1822" spans="1:3" x14ac:dyDescent="0.25">
      <c r="A1822" s="1" t="s">
        <v>18</v>
      </c>
      <c r="B1822" s="1">
        <v>230.4</v>
      </c>
      <c r="C1822" s="1">
        <v>6</v>
      </c>
    </row>
    <row r="1823" spans="1:3" x14ac:dyDescent="0.25">
      <c r="A1823" s="1" t="s">
        <v>8</v>
      </c>
      <c r="B1823" s="1">
        <v>328.8</v>
      </c>
      <c r="C1823" s="1">
        <v>7</v>
      </c>
    </row>
    <row r="1824" spans="1:3" x14ac:dyDescent="0.25">
      <c r="A1824" s="1" t="s">
        <v>12</v>
      </c>
      <c r="B1824" s="1">
        <v>385</v>
      </c>
      <c r="C1824" s="1">
        <v>11</v>
      </c>
    </row>
    <row r="1825" spans="1:3" x14ac:dyDescent="0.25">
      <c r="A1825" s="1" t="s">
        <v>62</v>
      </c>
      <c r="B1825" s="1">
        <v>38.4</v>
      </c>
      <c r="C1825" s="1">
        <v>1</v>
      </c>
    </row>
    <row r="1826" spans="1:3" x14ac:dyDescent="0.25">
      <c r="A1826" s="1" t="s">
        <v>17</v>
      </c>
      <c r="B1826" s="1">
        <v>115.2</v>
      </c>
      <c r="C1826" s="1">
        <v>3</v>
      </c>
    </row>
    <row r="1827" spans="1:3" x14ac:dyDescent="0.25">
      <c r="A1827" s="1" t="s">
        <v>13</v>
      </c>
      <c r="B1827" s="1">
        <v>153.6</v>
      </c>
      <c r="C1827" s="1">
        <v>6</v>
      </c>
    </row>
    <row r="1828" spans="1:3" x14ac:dyDescent="0.25">
      <c r="A1828" s="1" t="s">
        <v>16</v>
      </c>
      <c r="B1828" s="1">
        <v>387.2</v>
      </c>
      <c r="C1828" s="1">
        <v>11</v>
      </c>
    </row>
    <row r="1829" spans="1:3" x14ac:dyDescent="0.25">
      <c r="A1829" s="1" t="s">
        <v>10</v>
      </c>
      <c r="B1829" s="1">
        <v>38.4</v>
      </c>
      <c r="C1829" s="1">
        <v>1</v>
      </c>
    </row>
    <row r="1830" spans="1:3" x14ac:dyDescent="0.25">
      <c r="A1830" s="1" t="s">
        <v>64</v>
      </c>
      <c r="B1830" s="1">
        <v>38.4</v>
      </c>
      <c r="C1830" s="1">
        <v>1</v>
      </c>
    </row>
    <row r="1831" spans="1:3" x14ac:dyDescent="0.25">
      <c r="A1831" s="1" t="s">
        <v>31</v>
      </c>
      <c r="B1831" s="1">
        <v>69.12</v>
      </c>
      <c r="C1831" s="1">
        <v>3</v>
      </c>
    </row>
    <row r="1832" spans="1:3" x14ac:dyDescent="0.25">
      <c r="A1832" s="1" t="s">
        <v>14</v>
      </c>
      <c r="B1832" s="1">
        <v>28.75</v>
      </c>
      <c r="C1832" s="1">
        <v>1</v>
      </c>
    </row>
    <row r="1833" spans="1:3" x14ac:dyDescent="0.25">
      <c r="A1833" s="1" t="s">
        <v>36</v>
      </c>
      <c r="B1833" s="1">
        <v>76.8</v>
      </c>
      <c r="C1833" s="1">
        <v>2</v>
      </c>
    </row>
    <row r="1834" spans="1:3" x14ac:dyDescent="0.25">
      <c r="A1834" s="1" t="s">
        <v>35</v>
      </c>
      <c r="B1834" s="1">
        <v>38.4</v>
      </c>
      <c r="C1834" s="1">
        <v>1</v>
      </c>
    </row>
    <row r="1835" spans="1:3" x14ac:dyDescent="0.25">
      <c r="A1835" s="1" t="s">
        <v>9</v>
      </c>
      <c r="B1835" s="1">
        <v>109.6</v>
      </c>
      <c r="C1835" s="1">
        <v>2</v>
      </c>
    </row>
    <row r="1836" spans="1:3" x14ac:dyDescent="0.25">
      <c r="A1836" s="1" t="s">
        <v>59</v>
      </c>
      <c r="B1836" s="1">
        <v>160</v>
      </c>
      <c r="C1836" s="1">
        <v>4</v>
      </c>
    </row>
    <row r="1837" spans="1:3" x14ac:dyDescent="0.25">
      <c r="A1837" s="1" t="s">
        <v>19</v>
      </c>
      <c r="B1837" s="1">
        <v>28.75</v>
      </c>
      <c r="C1837" s="1">
        <v>1</v>
      </c>
    </row>
    <row r="1838" spans="1:3" x14ac:dyDescent="0.25">
      <c r="A1838" s="1" t="s">
        <v>56</v>
      </c>
      <c r="B1838" s="1">
        <v>153.6</v>
      </c>
      <c r="C1838" s="1">
        <v>6</v>
      </c>
    </row>
    <row r="1839" spans="1:3" x14ac:dyDescent="0.25">
      <c r="A1839" s="1" t="s">
        <v>22</v>
      </c>
      <c r="B1839" s="1">
        <v>54.8</v>
      </c>
      <c r="C1839" s="1">
        <v>1</v>
      </c>
    </row>
    <row r="1840" spans="1:3" x14ac:dyDescent="0.25">
      <c r="A1840" s="1" t="s">
        <v>30</v>
      </c>
      <c r="B1840" s="1">
        <v>15.99</v>
      </c>
      <c r="C1840" s="1">
        <v>1</v>
      </c>
    </row>
    <row r="1841" spans="1:3" x14ac:dyDescent="0.25">
      <c r="A1841" s="1" t="s">
        <v>49</v>
      </c>
      <c r="B1841" s="1">
        <v>80</v>
      </c>
      <c r="C1841" s="1">
        <v>2</v>
      </c>
    </row>
    <row r="1842" spans="1:3" x14ac:dyDescent="0.25">
      <c r="A1842" s="1" t="s">
        <v>54</v>
      </c>
      <c r="B1842" s="1">
        <v>38.4</v>
      </c>
      <c r="C1842" s="1">
        <v>1</v>
      </c>
    </row>
    <row r="1843" spans="1:3" x14ac:dyDescent="0.25">
      <c r="A1843" s="1" t="s">
        <v>142</v>
      </c>
      <c r="B1843" s="1"/>
      <c r="C1843" s="1"/>
    </row>
    <row r="1844" spans="1:3" x14ac:dyDescent="0.25">
      <c r="A1844" s="1" t="s">
        <v>1</v>
      </c>
      <c r="B1844" s="1">
        <v>77</v>
      </c>
      <c r="C1844" s="1"/>
    </row>
    <row r="1845" spans="1:3" x14ac:dyDescent="0.25">
      <c r="A1845" s="1" t="s">
        <v>2</v>
      </c>
      <c r="B1845" s="1">
        <v>3168.65</v>
      </c>
      <c r="C1845" s="1"/>
    </row>
    <row r="1846" spans="1:3" x14ac:dyDescent="0.25">
      <c r="A1846" s="1" t="s">
        <v>3</v>
      </c>
      <c r="B1846" s="1" t="s">
        <v>4</v>
      </c>
      <c r="C1846" s="1" t="s">
        <v>5</v>
      </c>
    </row>
    <row r="1847" spans="1:3" x14ac:dyDescent="0.25">
      <c r="A1847" s="1" t="s">
        <v>15</v>
      </c>
      <c r="B1847" s="1">
        <v>136</v>
      </c>
      <c r="C1847" s="1">
        <v>3</v>
      </c>
    </row>
    <row r="1848" spans="1:3" x14ac:dyDescent="0.25">
      <c r="A1848" s="1" t="s">
        <v>8</v>
      </c>
      <c r="B1848" s="1">
        <v>438.4</v>
      </c>
      <c r="C1848" s="1">
        <v>8</v>
      </c>
    </row>
    <row r="1849" spans="1:3" x14ac:dyDescent="0.25">
      <c r="A1849" s="1" t="s">
        <v>12</v>
      </c>
      <c r="B1849" s="1">
        <v>210</v>
      </c>
      <c r="C1849" s="1">
        <v>6</v>
      </c>
    </row>
    <row r="1850" spans="1:3" x14ac:dyDescent="0.25">
      <c r="A1850" s="1" t="s">
        <v>71</v>
      </c>
      <c r="B1850" s="1">
        <v>40</v>
      </c>
      <c r="C1850" s="1">
        <v>1</v>
      </c>
    </row>
    <row r="1851" spans="1:3" x14ac:dyDescent="0.25">
      <c r="A1851" s="1" t="s">
        <v>19</v>
      </c>
      <c r="B1851" s="1">
        <v>28.75</v>
      </c>
      <c r="C1851" s="1">
        <v>1</v>
      </c>
    </row>
    <row r="1852" spans="1:3" x14ac:dyDescent="0.25">
      <c r="A1852" s="1" t="s">
        <v>17</v>
      </c>
      <c r="B1852" s="1">
        <v>153.6</v>
      </c>
      <c r="C1852" s="1">
        <v>4</v>
      </c>
    </row>
    <row r="1853" spans="1:3" x14ac:dyDescent="0.25">
      <c r="A1853" s="1" t="s">
        <v>20</v>
      </c>
      <c r="B1853" s="1">
        <v>192</v>
      </c>
      <c r="C1853" s="1">
        <v>5</v>
      </c>
    </row>
    <row r="1854" spans="1:3" x14ac:dyDescent="0.25">
      <c r="A1854" s="1" t="s">
        <v>18</v>
      </c>
      <c r="B1854" s="1">
        <v>153.6</v>
      </c>
      <c r="C1854" s="1">
        <v>4</v>
      </c>
    </row>
    <row r="1855" spans="1:3" x14ac:dyDescent="0.25">
      <c r="A1855" s="1" t="s">
        <v>16</v>
      </c>
      <c r="B1855" s="1">
        <v>105.6</v>
      </c>
      <c r="C1855" s="1">
        <v>3</v>
      </c>
    </row>
    <row r="1856" spans="1:3" x14ac:dyDescent="0.25">
      <c r="A1856" s="1" t="s">
        <v>51</v>
      </c>
      <c r="B1856" s="1">
        <v>76.8</v>
      </c>
      <c r="C1856" s="1">
        <v>2</v>
      </c>
    </row>
    <row r="1857" spans="1:3" x14ac:dyDescent="0.25">
      <c r="A1857" s="1" t="s">
        <v>33</v>
      </c>
      <c r="B1857" s="1">
        <v>40</v>
      </c>
      <c r="C1857" s="1">
        <v>1</v>
      </c>
    </row>
    <row r="1858" spans="1:3" x14ac:dyDescent="0.25">
      <c r="A1858" s="1" t="s">
        <v>26</v>
      </c>
      <c r="B1858" s="1">
        <v>37.5</v>
      </c>
      <c r="C1858" s="1">
        <v>1</v>
      </c>
    </row>
    <row r="1859" spans="1:3" x14ac:dyDescent="0.25">
      <c r="A1859" s="1" t="s">
        <v>49</v>
      </c>
      <c r="B1859" s="1">
        <v>240</v>
      </c>
      <c r="C1859" s="1">
        <v>6</v>
      </c>
    </row>
    <row r="1860" spans="1:3" x14ac:dyDescent="0.25">
      <c r="A1860" s="1" t="s">
        <v>40</v>
      </c>
      <c r="B1860" s="1">
        <v>164.4</v>
      </c>
      <c r="C1860" s="1">
        <v>3</v>
      </c>
    </row>
    <row r="1861" spans="1:3" x14ac:dyDescent="0.25">
      <c r="A1861" s="1" t="s">
        <v>9</v>
      </c>
      <c r="B1861" s="1">
        <v>109.6</v>
      </c>
      <c r="C1861" s="1">
        <v>2</v>
      </c>
    </row>
    <row r="1862" spans="1:3" x14ac:dyDescent="0.25">
      <c r="A1862" s="1" t="s">
        <v>21</v>
      </c>
      <c r="B1862" s="1">
        <v>164.4</v>
      </c>
      <c r="C1862" s="1">
        <v>3</v>
      </c>
    </row>
    <row r="1863" spans="1:3" x14ac:dyDescent="0.25">
      <c r="A1863" s="1" t="s">
        <v>6</v>
      </c>
      <c r="B1863" s="1">
        <v>109.6</v>
      </c>
      <c r="C1863" s="1">
        <v>3</v>
      </c>
    </row>
    <row r="1864" spans="1:3" x14ac:dyDescent="0.25">
      <c r="A1864" s="1" t="s">
        <v>34</v>
      </c>
      <c r="B1864" s="1">
        <v>64</v>
      </c>
      <c r="C1864" s="1">
        <v>1</v>
      </c>
    </row>
    <row r="1865" spans="1:3" x14ac:dyDescent="0.25">
      <c r="A1865" s="1" t="s">
        <v>54</v>
      </c>
      <c r="B1865" s="1">
        <v>38.4</v>
      </c>
      <c r="C1865" s="1">
        <v>1</v>
      </c>
    </row>
    <row r="1866" spans="1:3" x14ac:dyDescent="0.25">
      <c r="A1866" s="1" t="s">
        <v>36</v>
      </c>
      <c r="B1866" s="1">
        <v>72.959999999999994</v>
      </c>
      <c r="C1866" s="1">
        <v>2</v>
      </c>
    </row>
    <row r="1867" spans="1:3" x14ac:dyDescent="0.25">
      <c r="A1867" s="1" t="s">
        <v>47</v>
      </c>
      <c r="B1867" s="1">
        <v>128</v>
      </c>
      <c r="C1867" s="1">
        <v>2</v>
      </c>
    </row>
    <row r="1868" spans="1:3" x14ac:dyDescent="0.25">
      <c r="A1868" s="1" t="s">
        <v>42</v>
      </c>
      <c r="B1868" s="1">
        <v>40</v>
      </c>
      <c r="C1868" s="1">
        <v>1</v>
      </c>
    </row>
    <row r="1869" spans="1:3" x14ac:dyDescent="0.25">
      <c r="A1869" s="1" t="s">
        <v>30</v>
      </c>
      <c r="B1869" s="1">
        <v>15.99</v>
      </c>
      <c r="C1869" s="1">
        <v>1</v>
      </c>
    </row>
    <row r="1870" spans="1:3" x14ac:dyDescent="0.25">
      <c r="A1870" s="1" t="s">
        <v>55</v>
      </c>
      <c r="B1870" s="1">
        <v>38.4</v>
      </c>
      <c r="C1870" s="1">
        <v>2</v>
      </c>
    </row>
    <row r="1871" spans="1:3" x14ac:dyDescent="0.25">
      <c r="A1871" s="1" t="s">
        <v>22</v>
      </c>
      <c r="B1871" s="1">
        <v>109.6</v>
      </c>
      <c r="C1871" s="1">
        <v>2</v>
      </c>
    </row>
    <row r="1872" spans="1:3" x14ac:dyDescent="0.25">
      <c r="A1872" s="1" t="s">
        <v>67</v>
      </c>
      <c r="B1872" s="1">
        <v>49.95</v>
      </c>
      <c r="C1872" s="1">
        <v>2</v>
      </c>
    </row>
    <row r="1873" spans="1:3" x14ac:dyDescent="0.25">
      <c r="A1873" s="1" t="s">
        <v>44</v>
      </c>
      <c r="B1873" s="1">
        <v>76.8</v>
      </c>
      <c r="C1873" s="1">
        <v>3</v>
      </c>
    </row>
    <row r="1874" spans="1:3" x14ac:dyDescent="0.25">
      <c r="A1874" s="1" t="s">
        <v>62</v>
      </c>
      <c r="B1874" s="1">
        <v>76.8</v>
      </c>
      <c r="C1874" s="1">
        <v>2</v>
      </c>
    </row>
    <row r="1875" spans="1:3" x14ac:dyDescent="0.25">
      <c r="A1875" s="1" t="s">
        <v>41</v>
      </c>
      <c r="B1875" s="1">
        <v>57.5</v>
      </c>
      <c r="C1875" s="1">
        <v>2</v>
      </c>
    </row>
    <row r="1876" spans="1:3" x14ac:dyDescent="0.25">
      <c r="A1876" s="1" t="s">
        <v>143</v>
      </c>
      <c r="B1876" s="1"/>
      <c r="C1876" s="1"/>
    </row>
    <row r="1877" spans="1:3" x14ac:dyDescent="0.25">
      <c r="A1877" s="1" t="s">
        <v>1</v>
      </c>
      <c r="B1877" s="1">
        <v>61</v>
      </c>
      <c r="C1877" s="1"/>
    </row>
    <row r="1878" spans="1:3" x14ac:dyDescent="0.25">
      <c r="A1878" s="1" t="s">
        <v>2</v>
      </c>
      <c r="B1878" s="1">
        <v>2330.81</v>
      </c>
      <c r="C1878" s="1"/>
    </row>
    <row r="1879" spans="1:3" x14ac:dyDescent="0.25">
      <c r="A1879" s="1" t="s">
        <v>3</v>
      </c>
      <c r="B1879" s="1" t="s">
        <v>4</v>
      </c>
      <c r="C1879" s="1" t="s">
        <v>5</v>
      </c>
    </row>
    <row r="1880" spans="1:3" x14ac:dyDescent="0.25">
      <c r="A1880" s="1" t="s">
        <v>15</v>
      </c>
      <c r="B1880" s="1">
        <v>1156</v>
      </c>
      <c r="C1880" s="1">
        <v>30</v>
      </c>
    </row>
    <row r="1881" spans="1:3" x14ac:dyDescent="0.25">
      <c r="A1881" s="1" t="s">
        <v>20</v>
      </c>
      <c r="B1881" s="1">
        <v>345.6</v>
      </c>
      <c r="C1881" s="1">
        <v>9</v>
      </c>
    </row>
    <row r="1882" spans="1:3" x14ac:dyDescent="0.25">
      <c r="A1882" s="1" t="s">
        <v>8</v>
      </c>
      <c r="B1882" s="1">
        <v>164.4</v>
      </c>
      <c r="C1882" s="1">
        <v>3</v>
      </c>
    </row>
    <row r="1883" spans="1:3" x14ac:dyDescent="0.25">
      <c r="A1883" s="1" t="s">
        <v>12</v>
      </c>
      <c r="B1883" s="1">
        <v>140</v>
      </c>
      <c r="C1883" s="1">
        <v>4</v>
      </c>
    </row>
    <row r="1884" spans="1:3" x14ac:dyDescent="0.25">
      <c r="A1884" s="1" t="s">
        <v>14</v>
      </c>
      <c r="B1884" s="1">
        <v>28.75</v>
      </c>
      <c r="C1884" s="1">
        <v>2</v>
      </c>
    </row>
    <row r="1885" spans="1:3" x14ac:dyDescent="0.25">
      <c r="A1885" s="1" t="s">
        <v>26</v>
      </c>
      <c r="B1885" s="1">
        <v>37.5</v>
      </c>
      <c r="C1885" s="1">
        <v>1</v>
      </c>
    </row>
    <row r="1886" spans="1:3" x14ac:dyDescent="0.25">
      <c r="A1886" s="1" t="s">
        <v>49</v>
      </c>
      <c r="B1886" s="1">
        <v>40</v>
      </c>
      <c r="C1886" s="1">
        <v>1</v>
      </c>
    </row>
    <row r="1887" spans="1:3" x14ac:dyDescent="0.25">
      <c r="A1887" s="1" t="s">
        <v>51</v>
      </c>
      <c r="B1887" s="1">
        <v>38.4</v>
      </c>
      <c r="C1887" s="1">
        <v>1</v>
      </c>
    </row>
    <row r="1888" spans="1:3" x14ac:dyDescent="0.25">
      <c r="A1888" s="1" t="s">
        <v>31</v>
      </c>
      <c r="B1888" s="1">
        <v>34.56</v>
      </c>
      <c r="C1888" s="1">
        <v>1</v>
      </c>
    </row>
    <row r="1889" spans="1:3" x14ac:dyDescent="0.25">
      <c r="A1889" s="1" t="s">
        <v>18</v>
      </c>
      <c r="B1889" s="1">
        <v>192</v>
      </c>
      <c r="C1889" s="1">
        <v>5</v>
      </c>
    </row>
    <row r="1890" spans="1:3" x14ac:dyDescent="0.25">
      <c r="A1890" s="1" t="s">
        <v>56</v>
      </c>
      <c r="B1890" s="1">
        <v>115.2</v>
      </c>
      <c r="C1890" s="1">
        <v>3</v>
      </c>
    </row>
    <row r="1891" spans="1:3" x14ac:dyDescent="0.25">
      <c r="A1891" s="1" t="s">
        <v>17</v>
      </c>
      <c r="B1891" s="1">
        <v>38.4</v>
      </c>
      <c r="C1891" s="1">
        <v>1</v>
      </c>
    </row>
    <row r="1892" spans="1:3" x14ac:dyDescent="0.25">
      <c r="A1892" s="1" t="s">
        <v>144</v>
      </c>
      <c r="B1892" s="1"/>
      <c r="C1892" s="1"/>
    </row>
    <row r="1893" spans="1:3" x14ac:dyDescent="0.25">
      <c r="A1893" s="1" t="s">
        <v>1</v>
      </c>
      <c r="B1893" s="1">
        <v>53</v>
      </c>
      <c r="C1893" s="1"/>
    </row>
    <row r="1894" spans="1:3" x14ac:dyDescent="0.25">
      <c r="A1894" s="1" t="s">
        <v>2</v>
      </c>
      <c r="B1894" s="1">
        <v>1937.4</v>
      </c>
      <c r="C1894" s="1"/>
    </row>
    <row r="1895" spans="1:3" x14ac:dyDescent="0.25">
      <c r="A1895" s="1" t="s">
        <v>3</v>
      </c>
      <c r="B1895" s="1" t="s">
        <v>4</v>
      </c>
      <c r="C1895" s="1" t="s">
        <v>5</v>
      </c>
    </row>
    <row r="1896" spans="1:3" x14ac:dyDescent="0.25">
      <c r="A1896" s="1" t="s">
        <v>8</v>
      </c>
      <c r="B1896" s="1">
        <v>274</v>
      </c>
      <c r="C1896" s="1">
        <v>5</v>
      </c>
    </row>
    <row r="1897" spans="1:3" x14ac:dyDescent="0.25">
      <c r="A1897" s="1" t="s">
        <v>22</v>
      </c>
      <c r="B1897" s="1">
        <v>54.8</v>
      </c>
      <c r="C1897" s="1">
        <v>1</v>
      </c>
    </row>
    <row r="1898" spans="1:3" x14ac:dyDescent="0.25">
      <c r="A1898" s="1" t="s">
        <v>18</v>
      </c>
      <c r="B1898" s="1">
        <v>76.8</v>
      </c>
      <c r="C1898" s="1">
        <v>2</v>
      </c>
    </row>
    <row r="1899" spans="1:3" x14ac:dyDescent="0.25">
      <c r="A1899" s="1" t="s">
        <v>20</v>
      </c>
      <c r="B1899" s="1">
        <v>38.4</v>
      </c>
      <c r="C1899" s="1">
        <v>1</v>
      </c>
    </row>
    <row r="1900" spans="1:3" x14ac:dyDescent="0.25">
      <c r="A1900" s="1" t="s">
        <v>7</v>
      </c>
      <c r="B1900" s="1">
        <v>54.8</v>
      </c>
      <c r="C1900" s="1">
        <v>1</v>
      </c>
    </row>
    <row r="1901" spans="1:3" x14ac:dyDescent="0.25">
      <c r="A1901" s="1" t="s">
        <v>17</v>
      </c>
      <c r="B1901" s="1">
        <v>153.6</v>
      </c>
      <c r="C1901" s="1">
        <v>4</v>
      </c>
    </row>
    <row r="1902" spans="1:3" x14ac:dyDescent="0.25">
      <c r="A1902" s="1" t="s">
        <v>13</v>
      </c>
      <c r="B1902" s="1">
        <v>307.2</v>
      </c>
      <c r="C1902" s="1">
        <v>13</v>
      </c>
    </row>
    <row r="1903" spans="1:3" x14ac:dyDescent="0.25">
      <c r="A1903" s="1" t="s">
        <v>57</v>
      </c>
      <c r="B1903" s="1">
        <v>440</v>
      </c>
      <c r="C1903" s="1">
        <v>12</v>
      </c>
    </row>
    <row r="1904" spans="1:3" x14ac:dyDescent="0.25">
      <c r="A1904" s="1" t="s">
        <v>10</v>
      </c>
      <c r="B1904" s="1">
        <v>38.4</v>
      </c>
      <c r="C1904" s="1">
        <v>2</v>
      </c>
    </row>
    <row r="1905" spans="1:3" x14ac:dyDescent="0.25">
      <c r="A1905" s="1" t="s">
        <v>42</v>
      </c>
      <c r="B1905" s="1">
        <v>40</v>
      </c>
      <c r="C1905" s="1">
        <v>1</v>
      </c>
    </row>
    <row r="1906" spans="1:3" x14ac:dyDescent="0.25">
      <c r="A1906" s="1" t="s">
        <v>40</v>
      </c>
      <c r="B1906" s="1">
        <v>54.8</v>
      </c>
      <c r="C1906" s="1">
        <v>1</v>
      </c>
    </row>
    <row r="1907" spans="1:3" x14ac:dyDescent="0.25">
      <c r="A1907" s="1" t="s">
        <v>12</v>
      </c>
      <c r="B1907" s="1">
        <v>35</v>
      </c>
      <c r="C1907" s="1">
        <v>1</v>
      </c>
    </row>
    <row r="1908" spans="1:3" x14ac:dyDescent="0.25">
      <c r="A1908" s="1" t="s">
        <v>54</v>
      </c>
      <c r="B1908" s="1">
        <v>38.4</v>
      </c>
      <c r="C1908" s="1">
        <v>1</v>
      </c>
    </row>
    <row r="1909" spans="1:3" x14ac:dyDescent="0.25">
      <c r="A1909" s="1" t="s">
        <v>9</v>
      </c>
      <c r="B1909" s="1">
        <v>54.8</v>
      </c>
      <c r="C1909" s="1">
        <v>1</v>
      </c>
    </row>
    <row r="1910" spans="1:3" x14ac:dyDescent="0.25">
      <c r="A1910" s="1" t="s">
        <v>21</v>
      </c>
      <c r="B1910" s="1">
        <v>54.8</v>
      </c>
      <c r="C1910" s="1">
        <v>1</v>
      </c>
    </row>
    <row r="1911" spans="1:3" x14ac:dyDescent="0.25">
      <c r="A1911" s="1" t="s">
        <v>27</v>
      </c>
      <c r="B1911" s="1">
        <v>76.8</v>
      </c>
      <c r="C1911" s="1">
        <v>2</v>
      </c>
    </row>
    <row r="1912" spans="1:3" x14ac:dyDescent="0.25">
      <c r="A1912" s="1" t="s">
        <v>55</v>
      </c>
      <c r="B1912" s="1">
        <v>38.4</v>
      </c>
      <c r="C1912" s="1">
        <v>2</v>
      </c>
    </row>
    <row r="1913" spans="1:3" x14ac:dyDescent="0.25">
      <c r="A1913" s="1" t="s">
        <v>15</v>
      </c>
      <c r="B1913" s="1">
        <v>68</v>
      </c>
      <c r="C1913" s="1">
        <v>1</v>
      </c>
    </row>
    <row r="1914" spans="1:3" x14ac:dyDescent="0.25">
      <c r="A1914" s="1" t="s">
        <v>44</v>
      </c>
      <c r="B1914" s="1">
        <v>38.4</v>
      </c>
      <c r="C1914" s="1">
        <v>1</v>
      </c>
    </row>
    <row r="1915" spans="1:3" x14ac:dyDescent="0.25">
      <c r="A1915" s="1" t="s">
        <v>145</v>
      </c>
      <c r="B1915" s="1"/>
      <c r="C1915" s="1"/>
    </row>
    <row r="1916" spans="1:3" x14ac:dyDescent="0.25">
      <c r="A1916" s="1" t="s">
        <v>1</v>
      </c>
      <c r="B1916" s="1">
        <v>16</v>
      </c>
      <c r="C1916" s="1"/>
    </row>
    <row r="1917" spans="1:3" x14ac:dyDescent="0.25">
      <c r="A1917" s="1" t="s">
        <v>2</v>
      </c>
      <c r="B1917" s="1">
        <v>648.95000000000005</v>
      </c>
      <c r="C1917" s="1"/>
    </row>
    <row r="1918" spans="1:3" x14ac:dyDescent="0.25">
      <c r="A1918" s="1" t="s">
        <v>3</v>
      </c>
      <c r="B1918" s="1" t="s">
        <v>4</v>
      </c>
      <c r="C1918" s="1" t="s">
        <v>5</v>
      </c>
    </row>
    <row r="1919" spans="1:3" x14ac:dyDescent="0.25">
      <c r="A1919" s="1" t="s">
        <v>8</v>
      </c>
      <c r="B1919" s="1">
        <v>109.6</v>
      </c>
      <c r="C1919" s="1">
        <v>2</v>
      </c>
    </row>
    <row r="1920" spans="1:3" x14ac:dyDescent="0.25">
      <c r="A1920" s="1" t="s">
        <v>18</v>
      </c>
      <c r="B1920" s="1">
        <v>76.8</v>
      </c>
      <c r="C1920" s="1">
        <v>2</v>
      </c>
    </row>
    <row r="1921" spans="1:3" x14ac:dyDescent="0.25">
      <c r="A1921" s="1" t="s">
        <v>17</v>
      </c>
      <c r="B1921" s="1">
        <v>76.8</v>
      </c>
      <c r="C1921" s="1">
        <v>2</v>
      </c>
    </row>
    <row r="1922" spans="1:3" x14ac:dyDescent="0.25">
      <c r="A1922" s="1" t="s">
        <v>13</v>
      </c>
      <c r="B1922" s="1">
        <v>38.4</v>
      </c>
      <c r="C1922" s="1">
        <v>1</v>
      </c>
    </row>
    <row r="1923" spans="1:3" x14ac:dyDescent="0.25">
      <c r="A1923" s="1" t="s">
        <v>41</v>
      </c>
      <c r="B1923" s="1">
        <v>28.75</v>
      </c>
      <c r="C1923" s="1">
        <v>1</v>
      </c>
    </row>
    <row r="1924" spans="1:3" x14ac:dyDescent="0.25">
      <c r="A1924" s="1" t="s">
        <v>21</v>
      </c>
      <c r="B1924" s="1">
        <v>54.8</v>
      </c>
      <c r="C1924" s="1">
        <v>1</v>
      </c>
    </row>
    <row r="1925" spans="1:3" x14ac:dyDescent="0.25">
      <c r="A1925" s="1" t="s">
        <v>20</v>
      </c>
      <c r="B1925" s="1">
        <v>153.6</v>
      </c>
      <c r="C1925" s="1">
        <v>4</v>
      </c>
    </row>
    <row r="1926" spans="1:3" x14ac:dyDescent="0.25">
      <c r="A1926" s="1" t="s">
        <v>16</v>
      </c>
      <c r="B1926" s="1">
        <v>35.200000000000003</v>
      </c>
      <c r="C1926" s="1">
        <v>1</v>
      </c>
    </row>
    <row r="1927" spans="1:3" x14ac:dyDescent="0.25">
      <c r="A1927" s="1" t="s">
        <v>12</v>
      </c>
      <c r="B1927" s="1">
        <v>35</v>
      </c>
      <c r="C1927" s="1">
        <v>1</v>
      </c>
    </row>
    <row r="1928" spans="1:3" x14ac:dyDescent="0.25">
      <c r="A1928" s="1" t="s">
        <v>49</v>
      </c>
      <c r="B1928" s="1">
        <v>40</v>
      </c>
      <c r="C1928" s="1">
        <v>1</v>
      </c>
    </row>
    <row r="1929" spans="1:3" x14ac:dyDescent="0.25">
      <c r="A1929" s="1" t="s">
        <v>146</v>
      </c>
      <c r="B1929" s="1"/>
      <c r="C1929" s="1"/>
    </row>
    <row r="1930" spans="1:3" x14ac:dyDescent="0.25">
      <c r="A1930" s="1" t="s">
        <v>1</v>
      </c>
      <c r="B1930" s="1">
        <v>48</v>
      </c>
      <c r="C1930" s="1"/>
    </row>
    <row r="1931" spans="1:3" x14ac:dyDescent="0.25">
      <c r="A1931" s="1" t="s">
        <v>2</v>
      </c>
      <c r="B1931" s="1">
        <v>2036.75</v>
      </c>
      <c r="C1931" s="1"/>
    </row>
    <row r="1932" spans="1:3" x14ac:dyDescent="0.25">
      <c r="A1932" s="1" t="s">
        <v>3</v>
      </c>
      <c r="B1932" s="1" t="s">
        <v>4</v>
      </c>
      <c r="C1932" s="1" t="s">
        <v>5</v>
      </c>
    </row>
    <row r="1933" spans="1:3" x14ac:dyDescent="0.25">
      <c r="A1933" s="1" t="s">
        <v>33</v>
      </c>
      <c r="B1933" s="1">
        <v>80</v>
      </c>
      <c r="C1933" s="1">
        <v>2</v>
      </c>
    </row>
    <row r="1934" spans="1:3" x14ac:dyDescent="0.25">
      <c r="A1934" s="1" t="s">
        <v>22</v>
      </c>
      <c r="B1934" s="1">
        <v>164.4</v>
      </c>
      <c r="C1934" s="1">
        <v>3</v>
      </c>
    </row>
    <row r="1935" spans="1:3" x14ac:dyDescent="0.25">
      <c r="A1935" s="1" t="s">
        <v>42</v>
      </c>
      <c r="B1935" s="1">
        <v>40</v>
      </c>
      <c r="C1935" s="1">
        <v>1</v>
      </c>
    </row>
    <row r="1936" spans="1:3" x14ac:dyDescent="0.25">
      <c r="A1936" s="1" t="s">
        <v>20</v>
      </c>
      <c r="B1936" s="1">
        <v>422.4</v>
      </c>
      <c r="C1936" s="1">
        <v>12</v>
      </c>
    </row>
    <row r="1937" spans="1:3" x14ac:dyDescent="0.25">
      <c r="A1937" s="1" t="s">
        <v>49</v>
      </c>
      <c r="B1937" s="1">
        <v>160</v>
      </c>
      <c r="C1937" s="1">
        <v>4</v>
      </c>
    </row>
    <row r="1938" spans="1:3" x14ac:dyDescent="0.25">
      <c r="A1938" s="1" t="s">
        <v>8</v>
      </c>
      <c r="B1938" s="1">
        <v>219.2</v>
      </c>
      <c r="C1938" s="1">
        <v>4</v>
      </c>
    </row>
    <row r="1939" spans="1:3" x14ac:dyDescent="0.25">
      <c r="A1939" s="1" t="s">
        <v>13</v>
      </c>
      <c r="B1939" s="1">
        <v>76.8</v>
      </c>
      <c r="C1939" s="1">
        <v>2</v>
      </c>
    </row>
    <row r="1940" spans="1:3" x14ac:dyDescent="0.25">
      <c r="A1940" s="1" t="s">
        <v>12</v>
      </c>
      <c r="B1940" s="1">
        <v>70</v>
      </c>
      <c r="C1940" s="1">
        <v>2</v>
      </c>
    </row>
    <row r="1941" spans="1:3" x14ac:dyDescent="0.25">
      <c r="A1941" s="1" t="s">
        <v>52</v>
      </c>
      <c r="B1941" s="1">
        <v>64</v>
      </c>
      <c r="C1941" s="1">
        <v>1</v>
      </c>
    </row>
    <row r="1942" spans="1:3" x14ac:dyDescent="0.25">
      <c r="A1942" s="1" t="s">
        <v>18</v>
      </c>
      <c r="B1942" s="1">
        <v>153.6</v>
      </c>
      <c r="C1942" s="1">
        <v>4</v>
      </c>
    </row>
    <row r="1943" spans="1:3" x14ac:dyDescent="0.25">
      <c r="A1943" s="1" t="s">
        <v>17</v>
      </c>
      <c r="B1943" s="1">
        <v>76.8</v>
      </c>
      <c r="C1943" s="1">
        <v>2</v>
      </c>
    </row>
    <row r="1944" spans="1:3" x14ac:dyDescent="0.25">
      <c r="A1944" s="1" t="s">
        <v>16</v>
      </c>
      <c r="B1944" s="1">
        <v>35.200000000000003</v>
      </c>
      <c r="C1944" s="1">
        <v>1</v>
      </c>
    </row>
    <row r="1945" spans="1:3" x14ac:dyDescent="0.25">
      <c r="A1945" s="1" t="s">
        <v>32</v>
      </c>
      <c r="B1945" s="1">
        <v>38.4</v>
      </c>
      <c r="C1945" s="1">
        <v>1</v>
      </c>
    </row>
    <row r="1946" spans="1:3" x14ac:dyDescent="0.25">
      <c r="A1946" s="1" t="s">
        <v>54</v>
      </c>
      <c r="B1946" s="1">
        <v>76.8</v>
      </c>
      <c r="C1946" s="1">
        <v>2</v>
      </c>
    </row>
    <row r="1947" spans="1:3" x14ac:dyDescent="0.25">
      <c r="A1947" s="1" t="s">
        <v>36</v>
      </c>
      <c r="B1947" s="1">
        <v>38.4</v>
      </c>
      <c r="C1947" s="1">
        <v>1</v>
      </c>
    </row>
    <row r="1948" spans="1:3" x14ac:dyDescent="0.25">
      <c r="A1948" s="1" t="s">
        <v>21</v>
      </c>
      <c r="B1948" s="1">
        <v>109.6</v>
      </c>
      <c r="C1948" s="1">
        <v>2</v>
      </c>
    </row>
    <row r="1949" spans="1:3" x14ac:dyDescent="0.25">
      <c r="A1949" s="1" t="s">
        <v>40</v>
      </c>
      <c r="B1949" s="1">
        <v>54.8</v>
      </c>
      <c r="C1949" s="1">
        <v>1</v>
      </c>
    </row>
    <row r="1950" spans="1:3" x14ac:dyDescent="0.25">
      <c r="A1950" s="1" t="s">
        <v>56</v>
      </c>
      <c r="B1950" s="1">
        <v>38.4</v>
      </c>
      <c r="C1950" s="1">
        <v>1</v>
      </c>
    </row>
    <row r="1951" spans="1:3" x14ac:dyDescent="0.25">
      <c r="A1951" s="1" t="s">
        <v>67</v>
      </c>
      <c r="B1951" s="1">
        <v>49.95</v>
      </c>
      <c r="C1951" s="1">
        <v>1</v>
      </c>
    </row>
    <row r="1952" spans="1:3" x14ac:dyDescent="0.25">
      <c r="A1952" s="1" t="s">
        <v>15</v>
      </c>
      <c r="B1952" s="1">
        <v>68</v>
      </c>
      <c r="C1952" s="1">
        <v>1</v>
      </c>
    </row>
    <row r="1953" spans="1:3" x14ac:dyDescent="0.25">
      <c r="A1953" s="1" t="s">
        <v>147</v>
      </c>
      <c r="B1953" s="1"/>
      <c r="C1953" s="1"/>
    </row>
    <row r="1954" spans="1:3" x14ac:dyDescent="0.25">
      <c r="A1954" s="1" t="s">
        <v>1</v>
      </c>
      <c r="B1954" s="1">
        <v>35</v>
      </c>
      <c r="C1954" s="1"/>
    </row>
    <row r="1955" spans="1:3" x14ac:dyDescent="0.25">
      <c r="A1955" s="1" t="s">
        <v>2</v>
      </c>
      <c r="B1955" s="1">
        <v>1334.75</v>
      </c>
      <c r="C1955" s="1"/>
    </row>
    <row r="1956" spans="1:3" x14ac:dyDescent="0.25">
      <c r="A1956" s="1" t="s">
        <v>3</v>
      </c>
      <c r="B1956" s="1" t="s">
        <v>4</v>
      </c>
      <c r="C1956" s="1" t="s">
        <v>5</v>
      </c>
    </row>
    <row r="1957" spans="1:3" x14ac:dyDescent="0.25">
      <c r="A1957" s="1" t="s">
        <v>22</v>
      </c>
      <c r="B1957" s="1">
        <v>54.8</v>
      </c>
      <c r="C1957" s="1">
        <v>1</v>
      </c>
    </row>
    <row r="1958" spans="1:3" x14ac:dyDescent="0.25">
      <c r="A1958" s="1" t="s">
        <v>8</v>
      </c>
      <c r="B1958" s="1">
        <v>274</v>
      </c>
      <c r="C1958" s="1">
        <v>5</v>
      </c>
    </row>
    <row r="1959" spans="1:3" x14ac:dyDescent="0.25">
      <c r="A1959" s="1" t="s">
        <v>49</v>
      </c>
      <c r="B1959" s="1">
        <v>80</v>
      </c>
      <c r="C1959" s="1">
        <v>2</v>
      </c>
    </row>
    <row r="1960" spans="1:3" x14ac:dyDescent="0.25">
      <c r="A1960" s="1" t="s">
        <v>20</v>
      </c>
      <c r="B1960" s="1">
        <v>307.2</v>
      </c>
      <c r="C1960" s="1">
        <v>11</v>
      </c>
    </row>
    <row r="1961" spans="1:3" x14ac:dyDescent="0.25">
      <c r="A1961" s="1" t="s">
        <v>27</v>
      </c>
      <c r="B1961" s="1">
        <v>38.4</v>
      </c>
      <c r="C1961" s="1">
        <v>1</v>
      </c>
    </row>
    <row r="1962" spans="1:3" x14ac:dyDescent="0.25">
      <c r="A1962" s="1" t="s">
        <v>18</v>
      </c>
      <c r="B1962" s="1">
        <v>115.2</v>
      </c>
      <c r="C1962" s="1">
        <v>4</v>
      </c>
    </row>
    <row r="1963" spans="1:3" x14ac:dyDescent="0.25">
      <c r="A1963" s="1" t="s">
        <v>17</v>
      </c>
      <c r="B1963" s="1">
        <v>76.8</v>
      </c>
      <c r="C1963" s="1">
        <v>2</v>
      </c>
    </row>
    <row r="1964" spans="1:3" x14ac:dyDescent="0.25">
      <c r="A1964" s="1" t="s">
        <v>12</v>
      </c>
      <c r="B1964" s="1">
        <v>70</v>
      </c>
      <c r="C1964" s="1">
        <v>2</v>
      </c>
    </row>
    <row r="1965" spans="1:3" x14ac:dyDescent="0.25">
      <c r="A1965" s="1" t="s">
        <v>35</v>
      </c>
      <c r="B1965" s="1">
        <v>38.4</v>
      </c>
      <c r="C1965" s="1">
        <v>1</v>
      </c>
    </row>
    <row r="1966" spans="1:3" x14ac:dyDescent="0.25">
      <c r="A1966" s="1" t="s">
        <v>15</v>
      </c>
      <c r="B1966" s="1">
        <v>136</v>
      </c>
      <c r="C1966" s="1">
        <v>2</v>
      </c>
    </row>
    <row r="1967" spans="1:3" x14ac:dyDescent="0.25">
      <c r="A1967" s="1" t="s">
        <v>62</v>
      </c>
      <c r="B1967" s="1">
        <v>38.4</v>
      </c>
      <c r="C1967" s="1">
        <v>1</v>
      </c>
    </row>
    <row r="1968" spans="1:3" x14ac:dyDescent="0.25">
      <c r="A1968" s="1" t="s">
        <v>44</v>
      </c>
      <c r="B1968" s="1">
        <v>38.4</v>
      </c>
      <c r="C1968" s="1">
        <v>1</v>
      </c>
    </row>
    <row r="1969" spans="1:3" x14ac:dyDescent="0.25">
      <c r="A1969" s="1" t="s">
        <v>45</v>
      </c>
      <c r="B1969" s="1">
        <v>28.75</v>
      </c>
      <c r="C1969" s="1">
        <v>1</v>
      </c>
    </row>
    <row r="1970" spans="1:3" x14ac:dyDescent="0.25">
      <c r="A1970" s="1" t="s">
        <v>54</v>
      </c>
      <c r="B1970" s="1">
        <v>38.4</v>
      </c>
      <c r="C1970" s="1">
        <v>1</v>
      </c>
    </row>
    <row r="1971" spans="1:3" x14ac:dyDescent="0.25">
      <c r="A1971" s="1" t="s">
        <v>148</v>
      </c>
      <c r="B1971" s="1"/>
      <c r="C1971" s="1"/>
    </row>
    <row r="1972" spans="1:3" x14ac:dyDescent="0.25">
      <c r="A1972" s="1" t="s">
        <v>1</v>
      </c>
      <c r="B1972" s="1">
        <v>21</v>
      </c>
      <c r="C1972" s="1"/>
    </row>
    <row r="1973" spans="1:3" x14ac:dyDescent="0.25">
      <c r="A1973" s="1" t="s">
        <v>2</v>
      </c>
      <c r="B1973" s="1">
        <v>785.74</v>
      </c>
      <c r="C1973" s="1"/>
    </row>
    <row r="1974" spans="1:3" x14ac:dyDescent="0.25">
      <c r="A1974" s="1" t="s">
        <v>3</v>
      </c>
      <c r="B1974" s="1" t="s">
        <v>4</v>
      </c>
      <c r="C1974" s="1" t="s">
        <v>5</v>
      </c>
    </row>
    <row r="1975" spans="1:3" x14ac:dyDescent="0.25">
      <c r="A1975" s="1" t="s">
        <v>20</v>
      </c>
      <c r="B1975" s="1">
        <v>115.2</v>
      </c>
      <c r="C1975" s="1">
        <v>4</v>
      </c>
    </row>
    <row r="1976" spans="1:3" x14ac:dyDescent="0.25">
      <c r="A1976" s="1" t="s">
        <v>12</v>
      </c>
      <c r="B1976" s="1">
        <v>35</v>
      </c>
      <c r="C1976" s="1">
        <v>1</v>
      </c>
    </row>
    <row r="1977" spans="1:3" x14ac:dyDescent="0.25">
      <c r="A1977" s="1" t="s">
        <v>30</v>
      </c>
      <c r="B1977" s="1">
        <v>15.99</v>
      </c>
      <c r="C1977" s="1">
        <v>1</v>
      </c>
    </row>
    <row r="1978" spans="1:3" x14ac:dyDescent="0.25">
      <c r="A1978" s="1" t="s">
        <v>8</v>
      </c>
      <c r="B1978" s="1">
        <v>219.2</v>
      </c>
      <c r="C1978" s="1">
        <v>5</v>
      </c>
    </row>
    <row r="1979" spans="1:3" x14ac:dyDescent="0.25">
      <c r="A1979" s="1" t="s">
        <v>18</v>
      </c>
      <c r="B1979" s="1">
        <v>76.8</v>
      </c>
      <c r="C1979" s="1">
        <v>2</v>
      </c>
    </row>
    <row r="1980" spans="1:3" x14ac:dyDescent="0.25">
      <c r="A1980" s="1" t="s">
        <v>17</v>
      </c>
      <c r="B1980" s="1">
        <v>115.2</v>
      </c>
      <c r="C1980" s="1">
        <v>3</v>
      </c>
    </row>
    <row r="1981" spans="1:3" x14ac:dyDescent="0.25">
      <c r="A1981" s="1" t="s">
        <v>33</v>
      </c>
      <c r="B1981" s="1">
        <v>80</v>
      </c>
      <c r="C1981" s="1">
        <v>2</v>
      </c>
    </row>
    <row r="1982" spans="1:3" x14ac:dyDescent="0.25">
      <c r="A1982" s="1" t="s">
        <v>67</v>
      </c>
      <c r="B1982" s="1">
        <v>49.95</v>
      </c>
      <c r="C1982" s="1">
        <v>1</v>
      </c>
    </row>
    <row r="1983" spans="1:3" x14ac:dyDescent="0.25">
      <c r="A1983" s="1" t="s">
        <v>54</v>
      </c>
      <c r="B1983" s="1">
        <v>38.4</v>
      </c>
      <c r="C1983" s="1">
        <v>1</v>
      </c>
    </row>
    <row r="1984" spans="1:3" x14ac:dyDescent="0.25">
      <c r="A1984" s="1" t="s">
        <v>49</v>
      </c>
      <c r="B1984" s="1">
        <v>40</v>
      </c>
      <c r="C1984" s="1">
        <v>1</v>
      </c>
    </row>
    <row r="1985" spans="1:3" x14ac:dyDescent="0.25">
      <c r="A1985" s="1" t="s">
        <v>149</v>
      </c>
      <c r="B1985" s="1"/>
      <c r="C1985" s="1"/>
    </row>
    <row r="1986" spans="1:3" x14ac:dyDescent="0.25">
      <c r="A1986" s="1" t="s">
        <v>1</v>
      </c>
      <c r="B1986" s="1">
        <v>48</v>
      </c>
      <c r="C1986" s="1"/>
    </row>
    <row r="1987" spans="1:3" x14ac:dyDescent="0.25">
      <c r="A1987" s="1" t="s">
        <v>2</v>
      </c>
      <c r="B1987" s="1">
        <v>2029.9</v>
      </c>
      <c r="C1987" s="1"/>
    </row>
    <row r="1988" spans="1:3" x14ac:dyDescent="0.25">
      <c r="A1988" s="1" t="s">
        <v>3</v>
      </c>
      <c r="B1988" s="1" t="s">
        <v>4</v>
      </c>
      <c r="C1988" s="1" t="s">
        <v>5</v>
      </c>
    </row>
    <row r="1989" spans="1:3" x14ac:dyDescent="0.25">
      <c r="A1989" s="1" t="s">
        <v>8</v>
      </c>
      <c r="B1989" s="1">
        <v>438.4</v>
      </c>
      <c r="C1989" s="1">
        <v>8</v>
      </c>
    </row>
    <row r="1990" spans="1:3" x14ac:dyDescent="0.25">
      <c r="A1990" s="1" t="s">
        <v>15</v>
      </c>
      <c r="B1990" s="1">
        <v>68</v>
      </c>
      <c r="C1990" s="1">
        <v>1</v>
      </c>
    </row>
    <row r="1991" spans="1:3" x14ac:dyDescent="0.25">
      <c r="A1991" s="1" t="s">
        <v>7</v>
      </c>
      <c r="B1991" s="1">
        <v>54.8</v>
      </c>
      <c r="C1991" s="1">
        <v>1</v>
      </c>
    </row>
    <row r="1992" spans="1:3" x14ac:dyDescent="0.25">
      <c r="A1992" s="1" t="s">
        <v>20</v>
      </c>
      <c r="B1992" s="1">
        <v>384</v>
      </c>
      <c r="C1992" s="1">
        <v>11</v>
      </c>
    </row>
    <row r="1993" spans="1:3" x14ac:dyDescent="0.25">
      <c r="A1993" s="1" t="s">
        <v>17</v>
      </c>
      <c r="B1993" s="1">
        <v>38.4</v>
      </c>
      <c r="C1993" s="1">
        <v>1</v>
      </c>
    </row>
    <row r="1994" spans="1:3" x14ac:dyDescent="0.25">
      <c r="A1994" s="1" t="s">
        <v>13</v>
      </c>
      <c r="B1994" s="1">
        <v>76.8</v>
      </c>
      <c r="C1994" s="1">
        <v>2</v>
      </c>
    </row>
    <row r="1995" spans="1:3" x14ac:dyDescent="0.25">
      <c r="A1995" s="1" t="s">
        <v>18</v>
      </c>
      <c r="B1995" s="1">
        <v>76.8</v>
      </c>
      <c r="C1995" s="1">
        <v>2</v>
      </c>
    </row>
    <row r="1996" spans="1:3" x14ac:dyDescent="0.25">
      <c r="A1996" s="1" t="s">
        <v>63</v>
      </c>
      <c r="B1996" s="1">
        <v>38.4</v>
      </c>
      <c r="C1996" s="1">
        <v>1</v>
      </c>
    </row>
    <row r="1997" spans="1:3" x14ac:dyDescent="0.25">
      <c r="A1997" s="1" t="s">
        <v>19</v>
      </c>
      <c r="B1997" s="1">
        <v>28.75</v>
      </c>
      <c r="C1997" s="1">
        <v>1</v>
      </c>
    </row>
    <row r="1998" spans="1:3" x14ac:dyDescent="0.25">
      <c r="A1998" s="1" t="s">
        <v>52</v>
      </c>
      <c r="B1998" s="1">
        <v>64</v>
      </c>
      <c r="C1998" s="1">
        <v>1</v>
      </c>
    </row>
    <row r="1999" spans="1:3" x14ac:dyDescent="0.25">
      <c r="A1999" s="1" t="s">
        <v>16</v>
      </c>
      <c r="B1999" s="1">
        <v>35.200000000000003</v>
      </c>
      <c r="C1999" s="1">
        <v>1</v>
      </c>
    </row>
    <row r="2000" spans="1:3" x14ac:dyDescent="0.25">
      <c r="A2000" s="1" t="s">
        <v>35</v>
      </c>
      <c r="B2000" s="1">
        <v>38.4</v>
      </c>
      <c r="C2000" s="1">
        <v>1</v>
      </c>
    </row>
    <row r="2001" spans="1:3" x14ac:dyDescent="0.25">
      <c r="A2001" s="1" t="s">
        <v>49</v>
      </c>
      <c r="B2001" s="1">
        <v>80</v>
      </c>
      <c r="C2001" s="1">
        <v>2</v>
      </c>
    </row>
    <row r="2002" spans="1:3" x14ac:dyDescent="0.25">
      <c r="A2002" s="1" t="s">
        <v>32</v>
      </c>
      <c r="B2002" s="1">
        <v>76.8</v>
      </c>
      <c r="C2002" s="1">
        <v>2</v>
      </c>
    </row>
    <row r="2003" spans="1:3" x14ac:dyDescent="0.25">
      <c r="A2003" s="1" t="s">
        <v>22</v>
      </c>
      <c r="B2003" s="1">
        <v>109.6</v>
      </c>
      <c r="C2003" s="1">
        <v>3</v>
      </c>
    </row>
    <row r="2004" spans="1:3" x14ac:dyDescent="0.25">
      <c r="A2004" s="1" t="s">
        <v>12</v>
      </c>
      <c r="B2004" s="1">
        <v>70</v>
      </c>
      <c r="C2004" s="1">
        <v>2</v>
      </c>
    </row>
    <row r="2005" spans="1:3" x14ac:dyDescent="0.25">
      <c r="A2005" s="1" t="s">
        <v>54</v>
      </c>
      <c r="B2005" s="1">
        <v>153.6</v>
      </c>
      <c r="C2005" s="1">
        <v>4</v>
      </c>
    </row>
    <row r="2006" spans="1:3" x14ac:dyDescent="0.25">
      <c r="A2006" s="1" t="s">
        <v>40</v>
      </c>
      <c r="B2006" s="1">
        <v>54.8</v>
      </c>
      <c r="C2006" s="1">
        <v>1</v>
      </c>
    </row>
    <row r="2007" spans="1:3" x14ac:dyDescent="0.25">
      <c r="A2007" s="1" t="s">
        <v>67</v>
      </c>
      <c r="B2007" s="1">
        <v>49.95</v>
      </c>
      <c r="C2007" s="1">
        <v>1</v>
      </c>
    </row>
    <row r="2008" spans="1:3" x14ac:dyDescent="0.25">
      <c r="A2008" s="1" t="s">
        <v>21</v>
      </c>
      <c r="B2008" s="1">
        <v>54.8</v>
      </c>
      <c r="C2008" s="1">
        <v>1</v>
      </c>
    </row>
    <row r="2009" spans="1:3" x14ac:dyDescent="0.25">
      <c r="A2009" s="1" t="s">
        <v>56</v>
      </c>
      <c r="B2009" s="1">
        <v>38.4</v>
      </c>
      <c r="C2009" s="1">
        <v>1</v>
      </c>
    </row>
    <row r="2010" spans="1:3" x14ac:dyDescent="0.25">
      <c r="A2010" s="1" t="s">
        <v>150</v>
      </c>
      <c r="B2010" s="1"/>
      <c r="C2010" s="1"/>
    </row>
    <row r="2011" spans="1:3" x14ac:dyDescent="0.25">
      <c r="A2011" s="1" t="s">
        <v>1</v>
      </c>
      <c r="B2011" s="1">
        <v>10</v>
      </c>
      <c r="C2011" s="1"/>
    </row>
    <row r="2012" spans="1:3" x14ac:dyDescent="0.25">
      <c r="A2012" s="1" t="s">
        <v>2</v>
      </c>
      <c r="B2012" s="1">
        <v>426.75</v>
      </c>
      <c r="C2012" s="1"/>
    </row>
    <row r="2013" spans="1:3" x14ac:dyDescent="0.25">
      <c r="A2013" s="1" t="s">
        <v>3</v>
      </c>
      <c r="B2013" s="1" t="s">
        <v>4</v>
      </c>
      <c r="C2013" s="1" t="s">
        <v>5</v>
      </c>
    </row>
    <row r="2014" spans="1:3" x14ac:dyDescent="0.25">
      <c r="A2014" s="1" t="s">
        <v>21</v>
      </c>
      <c r="B2014" s="1">
        <v>54.8</v>
      </c>
      <c r="C2014" s="1">
        <v>1</v>
      </c>
    </row>
    <row r="2015" spans="1:3" x14ac:dyDescent="0.25">
      <c r="A2015" s="1" t="s">
        <v>51</v>
      </c>
      <c r="B2015" s="1">
        <v>38.4</v>
      </c>
      <c r="C2015" s="1">
        <v>1</v>
      </c>
    </row>
    <row r="2016" spans="1:3" x14ac:dyDescent="0.25">
      <c r="A2016" s="1" t="s">
        <v>7</v>
      </c>
      <c r="B2016" s="1">
        <v>109.6</v>
      </c>
      <c r="C2016" s="1">
        <v>2</v>
      </c>
    </row>
    <row r="2017" spans="1:3" x14ac:dyDescent="0.25">
      <c r="A2017" s="1" t="s">
        <v>20</v>
      </c>
      <c r="B2017" s="1">
        <v>115.2</v>
      </c>
      <c r="C2017" s="1">
        <v>3</v>
      </c>
    </row>
    <row r="2018" spans="1:3" x14ac:dyDescent="0.25">
      <c r="A2018" s="1" t="s">
        <v>49</v>
      </c>
      <c r="B2018" s="1">
        <v>40</v>
      </c>
      <c r="C2018" s="1">
        <v>1</v>
      </c>
    </row>
    <row r="2019" spans="1:3" x14ac:dyDescent="0.25">
      <c r="A2019" s="1" t="s">
        <v>71</v>
      </c>
      <c r="B2019" s="1">
        <v>40</v>
      </c>
      <c r="C2019" s="1">
        <v>1</v>
      </c>
    </row>
    <row r="2020" spans="1:3" x14ac:dyDescent="0.25">
      <c r="A2020" s="1" t="s">
        <v>41</v>
      </c>
      <c r="B2020" s="1">
        <v>28.75</v>
      </c>
      <c r="C2020" s="1">
        <v>1</v>
      </c>
    </row>
    <row r="2021" spans="1:3" x14ac:dyDescent="0.25">
      <c r="A2021" s="1" t="s">
        <v>151</v>
      </c>
      <c r="B2021" s="1"/>
      <c r="C2021" s="1"/>
    </row>
    <row r="2022" spans="1:3" x14ac:dyDescent="0.25">
      <c r="A2022" s="1" t="s">
        <v>1</v>
      </c>
      <c r="B2022" s="1">
        <v>47</v>
      </c>
      <c r="C2022" s="1"/>
    </row>
    <row r="2023" spans="1:3" x14ac:dyDescent="0.25">
      <c r="A2023" s="1" t="s">
        <v>2</v>
      </c>
      <c r="B2023" s="1">
        <v>1940.8</v>
      </c>
      <c r="C2023" s="1"/>
    </row>
    <row r="2024" spans="1:3" x14ac:dyDescent="0.25">
      <c r="A2024" s="1" t="s">
        <v>3</v>
      </c>
      <c r="B2024" s="1" t="s">
        <v>4</v>
      </c>
      <c r="C2024" s="1" t="s">
        <v>5</v>
      </c>
    </row>
    <row r="2025" spans="1:3" x14ac:dyDescent="0.25">
      <c r="A2025" s="1" t="s">
        <v>20</v>
      </c>
      <c r="B2025" s="1">
        <v>230.4</v>
      </c>
      <c r="C2025" s="1">
        <v>8</v>
      </c>
    </row>
    <row r="2026" spans="1:3" x14ac:dyDescent="0.25">
      <c r="A2026" s="1" t="s">
        <v>12</v>
      </c>
      <c r="B2026" s="1">
        <v>105</v>
      </c>
      <c r="C2026" s="1">
        <v>3</v>
      </c>
    </row>
    <row r="2027" spans="1:3" x14ac:dyDescent="0.25">
      <c r="A2027" s="1" t="s">
        <v>62</v>
      </c>
      <c r="B2027" s="1">
        <v>38.4</v>
      </c>
      <c r="C2027" s="1">
        <v>2</v>
      </c>
    </row>
    <row r="2028" spans="1:3" x14ac:dyDescent="0.25">
      <c r="A2028" s="1" t="s">
        <v>51</v>
      </c>
      <c r="B2028" s="1">
        <v>153.6</v>
      </c>
      <c r="C2028" s="1">
        <v>4</v>
      </c>
    </row>
    <row r="2029" spans="1:3" x14ac:dyDescent="0.25">
      <c r="A2029" s="1" t="s">
        <v>10</v>
      </c>
      <c r="B2029" s="1">
        <v>76.8</v>
      </c>
      <c r="C2029" s="1">
        <v>2</v>
      </c>
    </row>
    <row r="2030" spans="1:3" x14ac:dyDescent="0.25">
      <c r="A2030" s="1" t="s">
        <v>22</v>
      </c>
      <c r="B2030" s="1">
        <v>109.6</v>
      </c>
      <c r="C2030" s="1">
        <v>2</v>
      </c>
    </row>
    <row r="2031" spans="1:3" x14ac:dyDescent="0.25">
      <c r="A2031" s="1" t="s">
        <v>7</v>
      </c>
      <c r="B2031" s="1">
        <v>164.4</v>
      </c>
      <c r="C2031" s="1">
        <v>3</v>
      </c>
    </row>
    <row r="2032" spans="1:3" x14ac:dyDescent="0.25">
      <c r="A2032" s="1" t="s">
        <v>26</v>
      </c>
      <c r="B2032" s="1">
        <v>37.5</v>
      </c>
      <c r="C2032" s="1">
        <v>1</v>
      </c>
    </row>
    <row r="2033" spans="1:3" x14ac:dyDescent="0.25">
      <c r="A2033" s="1" t="s">
        <v>8</v>
      </c>
      <c r="B2033" s="1">
        <v>164.4</v>
      </c>
      <c r="C2033" s="1">
        <v>3</v>
      </c>
    </row>
    <row r="2034" spans="1:3" x14ac:dyDescent="0.25">
      <c r="A2034" s="1" t="s">
        <v>40</v>
      </c>
      <c r="B2034" s="1">
        <v>164.4</v>
      </c>
      <c r="C2034" s="1">
        <v>3</v>
      </c>
    </row>
    <row r="2035" spans="1:3" x14ac:dyDescent="0.25">
      <c r="A2035" s="1" t="s">
        <v>27</v>
      </c>
      <c r="B2035" s="1">
        <v>76.8</v>
      </c>
      <c r="C2035" s="1">
        <v>2</v>
      </c>
    </row>
    <row r="2036" spans="1:3" x14ac:dyDescent="0.25">
      <c r="A2036" s="1" t="s">
        <v>52</v>
      </c>
      <c r="B2036" s="1">
        <v>64</v>
      </c>
      <c r="C2036" s="1">
        <v>1</v>
      </c>
    </row>
    <row r="2037" spans="1:3" x14ac:dyDescent="0.25">
      <c r="A2037" s="1" t="s">
        <v>54</v>
      </c>
      <c r="B2037" s="1">
        <v>38.4</v>
      </c>
      <c r="C2037" s="1">
        <v>1</v>
      </c>
    </row>
    <row r="2038" spans="1:3" x14ac:dyDescent="0.25">
      <c r="A2038" s="1" t="s">
        <v>17</v>
      </c>
      <c r="B2038" s="1">
        <v>153.6</v>
      </c>
      <c r="C2038" s="1">
        <v>4</v>
      </c>
    </row>
    <row r="2039" spans="1:3" x14ac:dyDescent="0.25">
      <c r="A2039" s="1" t="s">
        <v>6</v>
      </c>
      <c r="B2039" s="1">
        <v>54.8</v>
      </c>
      <c r="C2039" s="1">
        <v>1</v>
      </c>
    </row>
    <row r="2040" spans="1:3" x14ac:dyDescent="0.25">
      <c r="A2040" s="1" t="s">
        <v>18</v>
      </c>
      <c r="B2040" s="1">
        <v>38.4</v>
      </c>
      <c r="C2040" s="1">
        <v>1</v>
      </c>
    </row>
    <row r="2041" spans="1:3" x14ac:dyDescent="0.25">
      <c r="A2041" s="1" t="s">
        <v>15</v>
      </c>
      <c r="B2041" s="1">
        <v>136</v>
      </c>
      <c r="C2041" s="1">
        <v>2</v>
      </c>
    </row>
    <row r="2042" spans="1:3" x14ac:dyDescent="0.25">
      <c r="A2042" s="1" t="s">
        <v>55</v>
      </c>
      <c r="B2042" s="1">
        <v>38.4</v>
      </c>
      <c r="C2042" s="1">
        <v>1</v>
      </c>
    </row>
    <row r="2043" spans="1:3" x14ac:dyDescent="0.25">
      <c r="A2043" s="1" t="s">
        <v>44</v>
      </c>
      <c r="B2043" s="1">
        <v>38.4</v>
      </c>
      <c r="C2043" s="1">
        <v>1</v>
      </c>
    </row>
    <row r="2044" spans="1:3" x14ac:dyDescent="0.25">
      <c r="A2044" s="1" t="s">
        <v>45</v>
      </c>
      <c r="B2044" s="1">
        <v>28.75</v>
      </c>
      <c r="C2044" s="1">
        <v>1</v>
      </c>
    </row>
    <row r="2045" spans="1:3" x14ac:dyDescent="0.25">
      <c r="A2045" s="1" t="s">
        <v>41</v>
      </c>
      <c r="B2045" s="1">
        <v>28.75</v>
      </c>
      <c r="C2045" s="1">
        <v>1</v>
      </c>
    </row>
    <row r="2046" spans="1:3" x14ac:dyDescent="0.25">
      <c r="A2046" s="1" t="s">
        <v>152</v>
      </c>
      <c r="B2046" s="1"/>
      <c r="C2046" s="1"/>
    </row>
    <row r="2047" spans="1:3" x14ac:dyDescent="0.25">
      <c r="A2047" s="1" t="s">
        <v>1</v>
      </c>
      <c r="B2047" s="1">
        <v>35</v>
      </c>
      <c r="C2047" s="1"/>
    </row>
    <row r="2048" spans="1:3" x14ac:dyDescent="0.25">
      <c r="A2048" s="1" t="s">
        <v>2</v>
      </c>
      <c r="B2048" s="1">
        <v>1438.94</v>
      </c>
      <c r="C2048" s="1"/>
    </row>
    <row r="2049" spans="1:3" x14ac:dyDescent="0.25">
      <c r="A2049" s="1" t="s">
        <v>3</v>
      </c>
      <c r="B2049" s="1" t="s">
        <v>4</v>
      </c>
      <c r="C2049" s="1" t="s">
        <v>5</v>
      </c>
    </row>
    <row r="2050" spans="1:3" x14ac:dyDescent="0.25">
      <c r="A2050" s="1" t="s">
        <v>40</v>
      </c>
      <c r="B2050" s="1">
        <v>109.6</v>
      </c>
      <c r="C2050" s="1">
        <v>2</v>
      </c>
    </row>
    <row r="2051" spans="1:3" x14ac:dyDescent="0.25">
      <c r="A2051" s="1" t="s">
        <v>8</v>
      </c>
      <c r="B2051" s="1">
        <v>274</v>
      </c>
      <c r="C2051" s="1">
        <v>6</v>
      </c>
    </row>
    <row r="2052" spans="1:3" x14ac:dyDescent="0.25">
      <c r="A2052" s="1" t="s">
        <v>17</v>
      </c>
      <c r="B2052" s="1">
        <v>38.4</v>
      </c>
      <c r="C2052" s="1">
        <v>1</v>
      </c>
    </row>
    <row r="2053" spans="1:3" x14ac:dyDescent="0.25">
      <c r="A2053" s="1" t="s">
        <v>18</v>
      </c>
      <c r="B2053" s="1">
        <v>345.6</v>
      </c>
      <c r="C2053" s="1">
        <v>9</v>
      </c>
    </row>
    <row r="2054" spans="1:3" x14ac:dyDescent="0.25">
      <c r="A2054" s="1" t="s">
        <v>21</v>
      </c>
      <c r="B2054" s="1">
        <v>54.8</v>
      </c>
      <c r="C2054" s="1">
        <v>1</v>
      </c>
    </row>
    <row r="2055" spans="1:3" x14ac:dyDescent="0.25">
      <c r="A2055" s="1" t="s">
        <v>20</v>
      </c>
      <c r="B2055" s="1">
        <v>76.8</v>
      </c>
      <c r="C2055" s="1">
        <v>2</v>
      </c>
    </row>
    <row r="2056" spans="1:3" x14ac:dyDescent="0.25">
      <c r="A2056" s="1" t="s">
        <v>49</v>
      </c>
      <c r="B2056" s="1">
        <v>40</v>
      </c>
      <c r="C2056" s="1">
        <v>1</v>
      </c>
    </row>
    <row r="2057" spans="1:3" x14ac:dyDescent="0.25">
      <c r="A2057" s="1" t="s">
        <v>9</v>
      </c>
      <c r="B2057" s="1">
        <v>54.8</v>
      </c>
      <c r="C2057" s="1">
        <v>1</v>
      </c>
    </row>
    <row r="2058" spans="1:3" x14ac:dyDescent="0.25">
      <c r="A2058" s="1" t="s">
        <v>30</v>
      </c>
      <c r="B2058" s="1">
        <v>15.99</v>
      </c>
      <c r="C2058" s="1">
        <v>1</v>
      </c>
    </row>
    <row r="2059" spans="1:3" x14ac:dyDescent="0.25">
      <c r="A2059" s="1" t="s">
        <v>12</v>
      </c>
      <c r="B2059" s="1">
        <v>105</v>
      </c>
      <c r="C2059" s="1">
        <v>3</v>
      </c>
    </row>
    <row r="2060" spans="1:3" x14ac:dyDescent="0.25">
      <c r="A2060" s="1" t="s">
        <v>14</v>
      </c>
      <c r="B2060" s="1">
        <v>28.75</v>
      </c>
      <c r="C2060" s="1">
        <v>1</v>
      </c>
    </row>
    <row r="2061" spans="1:3" x14ac:dyDescent="0.25">
      <c r="A2061" s="1" t="s">
        <v>16</v>
      </c>
      <c r="B2061" s="1">
        <v>35.200000000000003</v>
      </c>
      <c r="C2061" s="1">
        <v>1</v>
      </c>
    </row>
    <row r="2062" spans="1:3" x14ac:dyDescent="0.25">
      <c r="A2062" s="1" t="s">
        <v>13</v>
      </c>
      <c r="B2062" s="1">
        <v>38.4</v>
      </c>
      <c r="C2062" s="1">
        <v>1</v>
      </c>
    </row>
    <row r="2063" spans="1:3" x14ac:dyDescent="0.25">
      <c r="A2063" s="1" t="s">
        <v>15</v>
      </c>
      <c r="B2063" s="1">
        <v>68</v>
      </c>
      <c r="C2063" s="1">
        <v>1</v>
      </c>
    </row>
    <row r="2064" spans="1:3" x14ac:dyDescent="0.25">
      <c r="A2064" s="1" t="s">
        <v>56</v>
      </c>
      <c r="B2064" s="1">
        <v>153.6</v>
      </c>
      <c r="C2064" s="1">
        <v>4</v>
      </c>
    </row>
    <row r="2065" spans="1:3" x14ac:dyDescent="0.25">
      <c r="A2065" s="1" t="s">
        <v>153</v>
      </c>
      <c r="B2065" s="1"/>
      <c r="C2065" s="1"/>
    </row>
    <row r="2066" spans="1:3" x14ac:dyDescent="0.25">
      <c r="A2066" s="1" t="s">
        <v>1</v>
      </c>
      <c r="B2066" s="1">
        <v>105</v>
      </c>
      <c r="C2066" s="1"/>
    </row>
    <row r="2067" spans="1:3" x14ac:dyDescent="0.25">
      <c r="A2067" s="1" t="s">
        <v>2</v>
      </c>
      <c r="B2067" s="1">
        <v>4317.4399999999996</v>
      </c>
      <c r="C2067" s="1"/>
    </row>
    <row r="2068" spans="1:3" x14ac:dyDescent="0.25">
      <c r="A2068" s="1" t="s">
        <v>3</v>
      </c>
      <c r="B2068" s="1" t="s">
        <v>4</v>
      </c>
      <c r="C2068" s="1" t="s">
        <v>5</v>
      </c>
    </row>
    <row r="2069" spans="1:3" x14ac:dyDescent="0.25">
      <c r="A2069" s="1" t="s">
        <v>12</v>
      </c>
      <c r="B2069" s="1">
        <v>140</v>
      </c>
      <c r="C2069" s="1">
        <v>4</v>
      </c>
    </row>
    <row r="2070" spans="1:3" x14ac:dyDescent="0.25">
      <c r="A2070" s="1" t="s">
        <v>17</v>
      </c>
      <c r="B2070" s="1">
        <v>499.2</v>
      </c>
      <c r="C2070" s="1">
        <v>15</v>
      </c>
    </row>
    <row r="2071" spans="1:3" x14ac:dyDescent="0.25">
      <c r="A2071" s="1" t="s">
        <v>20</v>
      </c>
      <c r="B2071" s="1">
        <v>499.2</v>
      </c>
      <c r="C2071" s="1">
        <v>14</v>
      </c>
    </row>
    <row r="2072" spans="1:3" x14ac:dyDescent="0.25">
      <c r="A2072" s="1" t="s">
        <v>78</v>
      </c>
      <c r="B2072" s="1">
        <v>54.8</v>
      </c>
      <c r="C2072" s="1">
        <v>1</v>
      </c>
    </row>
    <row r="2073" spans="1:3" x14ac:dyDescent="0.25">
      <c r="A2073" s="1" t="s">
        <v>18</v>
      </c>
      <c r="B2073" s="1">
        <v>422.4</v>
      </c>
      <c r="C2073" s="1">
        <v>11</v>
      </c>
    </row>
    <row r="2074" spans="1:3" x14ac:dyDescent="0.25">
      <c r="A2074" s="1" t="s">
        <v>21</v>
      </c>
      <c r="B2074" s="1">
        <v>274</v>
      </c>
      <c r="C2074" s="1">
        <v>5</v>
      </c>
    </row>
    <row r="2075" spans="1:3" x14ac:dyDescent="0.25">
      <c r="A2075" s="1" t="s">
        <v>42</v>
      </c>
      <c r="B2075" s="1">
        <v>80</v>
      </c>
      <c r="C2075" s="1">
        <v>2</v>
      </c>
    </row>
    <row r="2076" spans="1:3" x14ac:dyDescent="0.25">
      <c r="A2076" s="1" t="s">
        <v>40</v>
      </c>
      <c r="B2076" s="1">
        <v>328.8</v>
      </c>
      <c r="C2076" s="1">
        <v>7</v>
      </c>
    </row>
    <row r="2077" spans="1:3" x14ac:dyDescent="0.25">
      <c r="A2077" s="1" t="s">
        <v>14</v>
      </c>
      <c r="B2077" s="1">
        <v>28.75</v>
      </c>
      <c r="C2077" s="1">
        <v>1</v>
      </c>
    </row>
    <row r="2078" spans="1:3" x14ac:dyDescent="0.25">
      <c r="A2078" s="1" t="s">
        <v>19</v>
      </c>
      <c r="B2078" s="1">
        <v>57.5</v>
      </c>
      <c r="C2078" s="1">
        <v>2</v>
      </c>
    </row>
    <row r="2079" spans="1:3" x14ac:dyDescent="0.25">
      <c r="A2079" s="1" t="s">
        <v>26</v>
      </c>
      <c r="B2079" s="1">
        <v>37.5</v>
      </c>
      <c r="C2079" s="1">
        <v>1</v>
      </c>
    </row>
    <row r="2080" spans="1:3" x14ac:dyDescent="0.25">
      <c r="A2080" s="1" t="s">
        <v>13</v>
      </c>
      <c r="B2080" s="1">
        <v>153.6</v>
      </c>
      <c r="C2080" s="1">
        <v>4</v>
      </c>
    </row>
    <row r="2081" spans="1:3" x14ac:dyDescent="0.25">
      <c r="A2081" s="1" t="s">
        <v>64</v>
      </c>
      <c r="B2081" s="1">
        <v>38.4</v>
      </c>
      <c r="C2081" s="1">
        <v>1</v>
      </c>
    </row>
    <row r="2082" spans="1:3" x14ac:dyDescent="0.25">
      <c r="A2082" s="1" t="s">
        <v>32</v>
      </c>
      <c r="B2082" s="1">
        <v>38.4</v>
      </c>
      <c r="C2082" s="1">
        <v>1</v>
      </c>
    </row>
    <row r="2083" spans="1:3" x14ac:dyDescent="0.25">
      <c r="A2083" s="1" t="s">
        <v>8</v>
      </c>
      <c r="B2083" s="1">
        <v>548</v>
      </c>
      <c r="C2083" s="1">
        <v>11</v>
      </c>
    </row>
    <row r="2084" spans="1:3" x14ac:dyDescent="0.25">
      <c r="A2084" s="1" t="s">
        <v>54</v>
      </c>
      <c r="B2084" s="1">
        <v>76.8</v>
      </c>
      <c r="C2084" s="1">
        <v>2</v>
      </c>
    </row>
    <row r="2085" spans="1:3" x14ac:dyDescent="0.25">
      <c r="A2085" s="1" t="s">
        <v>7</v>
      </c>
      <c r="B2085" s="1">
        <v>54.8</v>
      </c>
      <c r="C2085" s="1">
        <v>1</v>
      </c>
    </row>
    <row r="2086" spans="1:3" x14ac:dyDescent="0.25">
      <c r="A2086" s="1" t="s">
        <v>35</v>
      </c>
      <c r="B2086" s="1">
        <v>76.8</v>
      </c>
      <c r="C2086" s="1">
        <v>2</v>
      </c>
    </row>
    <row r="2087" spans="1:3" x14ac:dyDescent="0.25">
      <c r="A2087" s="1" t="s">
        <v>9</v>
      </c>
      <c r="B2087" s="1">
        <v>219.2</v>
      </c>
      <c r="C2087" s="1">
        <v>4</v>
      </c>
    </row>
    <row r="2088" spans="1:3" x14ac:dyDescent="0.25">
      <c r="A2088" s="1" t="s">
        <v>36</v>
      </c>
      <c r="B2088" s="1">
        <v>72.959999999999994</v>
      </c>
      <c r="C2088" s="1">
        <v>2</v>
      </c>
    </row>
    <row r="2089" spans="1:3" x14ac:dyDescent="0.25">
      <c r="A2089" s="1" t="s">
        <v>22</v>
      </c>
      <c r="B2089" s="1">
        <v>109.6</v>
      </c>
      <c r="C2089" s="1">
        <v>2</v>
      </c>
    </row>
    <row r="2090" spans="1:3" x14ac:dyDescent="0.25">
      <c r="A2090" s="1" t="s">
        <v>52</v>
      </c>
      <c r="B2090" s="1">
        <v>64</v>
      </c>
      <c r="C2090" s="1">
        <v>1</v>
      </c>
    </row>
    <row r="2091" spans="1:3" x14ac:dyDescent="0.25">
      <c r="A2091" s="1" t="s">
        <v>61</v>
      </c>
      <c r="B2091" s="1">
        <v>64</v>
      </c>
      <c r="C2091" s="1">
        <v>1</v>
      </c>
    </row>
    <row r="2092" spans="1:3" x14ac:dyDescent="0.25">
      <c r="A2092" s="1" t="s">
        <v>15</v>
      </c>
      <c r="B2092" s="1">
        <v>68</v>
      </c>
      <c r="C2092" s="1">
        <v>1</v>
      </c>
    </row>
    <row r="2093" spans="1:3" x14ac:dyDescent="0.25">
      <c r="A2093" s="1" t="s">
        <v>49</v>
      </c>
      <c r="B2093" s="1">
        <v>40</v>
      </c>
      <c r="C2093" s="1">
        <v>1</v>
      </c>
    </row>
    <row r="2094" spans="1:3" x14ac:dyDescent="0.25">
      <c r="A2094" s="1" t="s">
        <v>10</v>
      </c>
      <c r="B2094" s="1">
        <v>38.4</v>
      </c>
      <c r="C2094" s="1">
        <v>1</v>
      </c>
    </row>
    <row r="2095" spans="1:3" x14ac:dyDescent="0.25">
      <c r="A2095" s="1" t="s">
        <v>30</v>
      </c>
      <c r="B2095" s="1">
        <v>31.98</v>
      </c>
      <c r="C2095" s="1">
        <v>2</v>
      </c>
    </row>
    <row r="2096" spans="1:3" x14ac:dyDescent="0.25">
      <c r="A2096" s="1" t="s">
        <v>33</v>
      </c>
      <c r="B2096" s="1">
        <v>40</v>
      </c>
      <c r="C2096" s="1">
        <v>1</v>
      </c>
    </row>
    <row r="2097" spans="1:3" x14ac:dyDescent="0.25">
      <c r="A2097" s="1" t="s">
        <v>56</v>
      </c>
      <c r="B2097" s="1">
        <v>38.4</v>
      </c>
      <c r="C2097" s="1">
        <v>1</v>
      </c>
    </row>
    <row r="2098" spans="1:3" x14ac:dyDescent="0.25">
      <c r="A2098" s="1" t="s">
        <v>37</v>
      </c>
      <c r="B2098" s="1">
        <v>54.8</v>
      </c>
      <c r="C2098" s="1">
        <v>1</v>
      </c>
    </row>
    <row r="2099" spans="1:3" x14ac:dyDescent="0.25">
      <c r="A2099" s="1" t="s">
        <v>44</v>
      </c>
      <c r="B2099" s="1">
        <v>38.4</v>
      </c>
      <c r="C2099" s="1">
        <v>1</v>
      </c>
    </row>
    <row r="2100" spans="1:3" x14ac:dyDescent="0.25">
      <c r="A2100" s="1" t="s">
        <v>45</v>
      </c>
      <c r="B2100" s="1">
        <v>28.75</v>
      </c>
      <c r="C2100" s="1">
        <v>1</v>
      </c>
    </row>
    <row r="2101" spans="1:3" x14ac:dyDescent="0.25">
      <c r="A2101" s="1" t="s">
        <v>154</v>
      </c>
      <c r="B2101" s="1"/>
      <c r="C2101" s="1"/>
    </row>
    <row r="2102" spans="1:3" x14ac:dyDescent="0.25">
      <c r="A2102" s="1" t="s">
        <v>1</v>
      </c>
      <c r="B2102" s="1">
        <v>48</v>
      </c>
      <c r="C2102" s="1"/>
    </row>
    <row r="2103" spans="1:3" x14ac:dyDescent="0.25">
      <c r="A2103" s="1" t="s">
        <v>2</v>
      </c>
      <c r="B2103" s="1">
        <v>2014.4</v>
      </c>
      <c r="C2103" s="1"/>
    </row>
    <row r="2104" spans="1:3" x14ac:dyDescent="0.25">
      <c r="A2104" s="1" t="s">
        <v>3</v>
      </c>
      <c r="B2104" s="1" t="s">
        <v>4</v>
      </c>
      <c r="C2104" s="1" t="s">
        <v>5</v>
      </c>
    </row>
    <row r="2105" spans="1:3" x14ac:dyDescent="0.25">
      <c r="A2105" s="1" t="s">
        <v>40</v>
      </c>
      <c r="B2105" s="1">
        <v>109.6</v>
      </c>
      <c r="C2105" s="1">
        <v>2</v>
      </c>
    </row>
    <row r="2106" spans="1:3" x14ac:dyDescent="0.25">
      <c r="A2106" s="1" t="s">
        <v>26</v>
      </c>
      <c r="B2106" s="1">
        <v>37.5</v>
      </c>
      <c r="C2106" s="1">
        <v>1</v>
      </c>
    </row>
    <row r="2107" spans="1:3" x14ac:dyDescent="0.25">
      <c r="A2107" s="1" t="s">
        <v>10</v>
      </c>
      <c r="B2107" s="1">
        <v>38.4</v>
      </c>
      <c r="C2107" s="1">
        <v>1</v>
      </c>
    </row>
    <row r="2108" spans="1:3" x14ac:dyDescent="0.25">
      <c r="A2108" s="1" t="s">
        <v>49</v>
      </c>
      <c r="B2108" s="1">
        <v>40</v>
      </c>
      <c r="C2108" s="1">
        <v>1</v>
      </c>
    </row>
    <row r="2109" spans="1:3" x14ac:dyDescent="0.25">
      <c r="A2109" s="1" t="s">
        <v>6</v>
      </c>
      <c r="B2109" s="1">
        <v>109.6</v>
      </c>
      <c r="C2109" s="1">
        <v>2</v>
      </c>
    </row>
    <row r="2110" spans="1:3" x14ac:dyDescent="0.25">
      <c r="A2110" s="1" t="s">
        <v>20</v>
      </c>
      <c r="B2110" s="1">
        <v>384</v>
      </c>
      <c r="C2110" s="1">
        <v>10</v>
      </c>
    </row>
    <row r="2111" spans="1:3" x14ac:dyDescent="0.25">
      <c r="A2111" s="1" t="s">
        <v>8</v>
      </c>
      <c r="B2111" s="1">
        <v>219.2</v>
      </c>
      <c r="C2111" s="1">
        <v>4</v>
      </c>
    </row>
    <row r="2112" spans="1:3" x14ac:dyDescent="0.25">
      <c r="A2112" s="1" t="s">
        <v>12</v>
      </c>
      <c r="B2112" s="1">
        <v>245</v>
      </c>
      <c r="C2112" s="1">
        <v>7</v>
      </c>
    </row>
    <row r="2113" spans="1:3" x14ac:dyDescent="0.25">
      <c r="A2113" s="1" t="s">
        <v>64</v>
      </c>
      <c r="B2113" s="1">
        <v>38.4</v>
      </c>
      <c r="C2113" s="1">
        <v>1</v>
      </c>
    </row>
    <row r="2114" spans="1:3" x14ac:dyDescent="0.25">
      <c r="A2114" s="1" t="s">
        <v>18</v>
      </c>
      <c r="B2114" s="1">
        <v>38.4</v>
      </c>
      <c r="C2114" s="1">
        <v>1</v>
      </c>
    </row>
    <row r="2115" spans="1:3" x14ac:dyDescent="0.25">
      <c r="A2115" s="1" t="s">
        <v>25</v>
      </c>
      <c r="B2115" s="1">
        <v>40</v>
      </c>
      <c r="C2115" s="1">
        <v>1</v>
      </c>
    </row>
    <row r="2116" spans="1:3" x14ac:dyDescent="0.25">
      <c r="A2116" s="1" t="s">
        <v>15</v>
      </c>
      <c r="B2116" s="1">
        <v>136</v>
      </c>
      <c r="C2116" s="1">
        <v>4</v>
      </c>
    </row>
    <row r="2117" spans="1:3" x14ac:dyDescent="0.25">
      <c r="A2117" s="1" t="s">
        <v>17</v>
      </c>
      <c r="B2117" s="1">
        <v>76.8</v>
      </c>
      <c r="C2117" s="1">
        <v>2</v>
      </c>
    </row>
    <row r="2118" spans="1:3" x14ac:dyDescent="0.25">
      <c r="A2118" s="1" t="s">
        <v>22</v>
      </c>
      <c r="B2118" s="1">
        <v>54.8</v>
      </c>
      <c r="C2118" s="1">
        <v>1</v>
      </c>
    </row>
    <row r="2119" spans="1:3" x14ac:dyDescent="0.25">
      <c r="A2119" s="1" t="s">
        <v>50</v>
      </c>
      <c r="B2119" s="1">
        <v>127.5</v>
      </c>
      <c r="C2119" s="1">
        <v>3</v>
      </c>
    </row>
    <row r="2120" spans="1:3" x14ac:dyDescent="0.25">
      <c r="A2120" s="1" t="s">
        <v>16</v>
      </c>
      <c r="B2120" s="1">
        <v>35.200000000000003</v>
      </c>
      <c r="C2120" s="1">
        <v>1</v>
      </c>
    </row>
    <row r="2121" spans="1:3" x14ac:dyDescent="0.25">
      <c r="A2121" s="1" t="s">
        <v>13</v>
      </c>
      <c r="B2121" s="1">
        <v>38.4</v>
      </c>
      <c r="C2121" s="1">
        <v>1</v>
      </c>
    </row>
    <row r="2122" spans="1:3" x14ac:dyDescent="0.25">
      <c r="A2122" s="1" t="s">
        <v>55</v>
      </c>
      <c r="B2122" s="1">
        <v>38.4</v>
      </c>
      <c r="C2122" s="1">
        <v>1</v>
      </c>
    </row>
    <row r="2123" spans="1:3" x14ac:dyDescent="0.25">
      <c r="A2123" s="1" t="s">
        <v>56</v>
      </c>
      <c r="B2123" s="1">
        <v>38.4</v>
      </c>
      <c r="C2123" s="1">
        <v>1</v>
      </c>
    </row>
    <row r="2124" spans="1:3" x14ac:dyDescent="0.25">
      <c r="A2124" s="1" t="s">
        <v>74</v>
      </c>
      <c r="B2124" s="1">
        <v>74</v>
      </c>
      <c r="C2124" s="1">
        <v>1</v>
      </c>
    </row>
    <row r="2125" spans="1:3" x14ac:dyDescent="0.25">
      <c r="A2125" s="1" t="s">
        <v>33</v>
      </c>
      <c r="B2125" s="1">
        <v>40</v>
      </c>
      <c r="C2125" s="1">
        <v>1</v>
      </c>
    </row>
    <row r="2126" spans="1:3" x14ac:dyDescent="0.25">
      <c r="A2126" s="1" t="s">
        <v>21</v>
      </c>
      <c r="B2126" s="1">
        <v>54.8</v>
      </c>
      <c r="C2126" s="1">
        <v>1</v>
      </c>
    </row>
    <row r="2127" spans="1:3" x14ac:dyDescent="0.25">
      <c r="A2127" s="1" t="s">
        <v>155</v>
      </c>
      <c r="B2127" s="1"/>
      <c r="C2127" s="1"/>
    </row>
    <row r="2128" spans="1:3" x14ac:dyDescent="0.25">
      <c r="A2128" s="1" t="s">
        <v>1</v>
      </c>
      <c r="B2128" s="1">
        <v>61</v>
      </c>
      <c r="C2128" s="1"/>
    </row>
    <row r="2129" spans="1:3" x14ac:dyDescent="0.25">
      <c r="A2129" s="1" t="s">
        <v>2</v>
      </c>
      <c r="B2129" s="1">
        <v>2589</v>
      </c>
      <c r="C2129" s="1"/>
    </row>
    <row r="2130" spans="1:3" x14ac:dyDescent="0.25">
      <c r="A2130" s="1" t="s">
        <v>3</v>
      </c>
      <c r="B2130" s="1" t="s">
        <v>4</v>
      </c>
      <c r="C2130" s="1" t="s">
        <v>5</v>
      </c>
    </row>
    <row r="2131" spans="1:3" x14ac:dyDescent="0.25">
      <c r="A2131" s="1" t="s">
        <v>20</v>
      </c>
      <c r="B2131" s="1">
        <v>268.8</v>
      </c>
      <c r="C2131" s="1">
        <v>7</v>
      </c>
    </row>
    <row r="2132" spans="1:3" x14ac:dyDescent="0.25">
      <c r="A2132" s="1" t="s">
        <v>8</v>
      </c>
      <c r="B2132" s="1">
        <v>274</v>
      </c>
      <c r="C2132" s="1">
        <v>5</v>
      </c>
    </row>
    <row r="2133" spans="1:3" x14ac:dyDescent="0.25">
      <c r="A2133" s="1" t="s">
        <v>17</v>
      </c>
      <c r="B2133" s="1">
        <v>192</v>
      </c>
      <c r="C2133" s="1">
        <v>5</v>
      </c>
    </row>
    <row r="2134" spans="1:3" x14ac:dyDescent="0.25">
      <c r="A2134" s="1" t="s">
        <v>19</v>
      </c>
      <c r="B2134" s="1">
        <v>57.5</v>
      </c>
      <c r="C2134" s="1">
        <v>2</v>
      </c>
    </row>
    <row r="2135" spans="1:3" x14ac:dyDescent="0.25">
      <c r="A2135" s="1" t="s">
        <v>12</v>
      </c>
      <c r="B2135" s="1">
        <v>280</v>
      </c>
      <c r="C2135" s="1">
        <v>8</v>
      </c>
    </row>
    <row r="2136" spans="1:3" x14ac:dyDescent="0.25">
      <c r="A2136" s="1" t="s">
        <v>33</v>
      </c>
      <c r="B2136" s="1">
        <v>160</v>
      </c>
      <c r="C2136" s="1">
        <v>4</v>
      </c>
    </row>
    <row r="2137" spans="1:3" x14ac:dyDescent="0.25">
      <c r="A2137" s="1" t="s">
        <v>21</v>
      </c>
      <c r="B2137" s="1">
        <v>274</v>
      </c>
      <c r="C2137" s="1">
        <v>5</v>
      </c>
    </row>
    <row r="2138" spans="1:3" x14ac:dyDescent="0.25">
      <c r="A2138" s="1" t="s">
        <v>51</v>
      </c>
      <c r="B2138" s="1">
        <v>38.4</v>
      </c>
      <c r="C2138" s="1">
        <v>1</v>
      </c>
    </row>
    <row r="2139" spans="1:3" x14ac:dyDescent="0.25">
      <c r="A2139" s="1" t="s">
        <v>49</v>
      </c>
      <c r="B2139" s="1">
        <v>160</v>
      </c>
      <c r="C2139" s="1">
        <v>4</v>
      </c>
    </row>
    <row r="2140" spans="1:3" x14ac:dyDescent="0.25">
      <c r="A2140" s="1" t="s">
        <v>13</v>
      </c>
      <c r="B2140" s="1">
        <v>76.8</v>
      </c>
      <c r="C2140" s="1">
        <v>2</v>
      </c>
    </row>
    <row r="2141" spans="1:3" x14ac:dyDescent="0.25">
      <c r="A2141" s="1" t="s">
        <v>40</v>
      </c>
      <c r="B2141" s="1">
        <v>164.4</v>
      </c>
      <c r="C2141" s="1">
        <v>3</v>
      </c>
    </row>
    <row r="2142" spans="1:3" x14ac:dyDescent="0.25">
      <c r="A2142" s="1" t="s">
        <v>37</v>
      </c>
      <c r="B2142" s="1">
        <v>54.8</v>
      </c>
      <c r="C2142" s="1">
        <v>1</v>
      </c>
    </row>
    <row r="2143" spans="1:3" x14ac:dyDescent="0.25">
      <c r="A2143" s="1" t="s">
        <v>18</v>
      </c>
      <c r="B2143" s="1">
        <v>230.4</v>
      </c>
      <c r="C2143" s="1">
        <v>6</v>
      </c>
    </row>
    <row r="2144" spans="1:3" x14ac:dyDescent="0.25">
      <c r="A2144" s="1" t="s">
        <v>61</v>
      </c>
      <c r="B2144" s="1">
        <v>64</v>
      </c>
      <c r="C2144" s="1">
        <v>1</v>
      </c>
    </row>
    <row r="2145" spans="1:3" x14ac:dyDescent="0.25">
      <c r="A2145" s="1" t="s">
        <v>16</v>
      </c>
      <c r="B2145" s="1">
        <v>35.200000000000003</v>
      </c>
      <c r="C2145" s="1">
        <v>1</v>
      </c>
    </row>
    <row r="2146" spans="1:3" x14ac:dyDescent="0.25">
      <c r="A2146" s="1" t="s">
        <v>22</v>
      </c>
      <c r="B2146" s="1">
        <v>54.8</v>
      </c>
      <c r="C2146" s="1">
        <v>1</v>
      </c>
    </row>
    <row r="2147" spans="1:3" x14ac:dyDescent="0.25">
      <c r="A2147" s="1" t="s">
        <v>71</v>
      </c>
      <c r="B2147" s="1">
        <v>40</v>
      </c>
      <c r="C2147" s="1">
        <v>1</v>
      </c>
    </row>
    <row r="2148" spans="1:3" x14ac:dyDescent="0.25">
      <c r="A2148" s="1" t="s">
        <v>62</v>
      </c>
      <c r="B2148" s="1">
        <v>38.4</v>
      </c>
      <c r="C2148" s="1">
        <v>1</v>
      </c>
    </row>
    <row r="2149" spans="1:3" x14ac:dyDescent="0.25">
      <c r="A2149" s="1" t="s">
        <v>45</v>
      </c>
      <c r="B2149" s="1">
        <v>28.75</v>
      </c>
      <c r="C2149" s="1">
        <v>1</v>
      </c>
    </row>
    <row r="2150" spans="1:3" x14ac:dyDescent="0.25">
      <c r="A2150" s="1" t="s">
        <v>15</v>
      </c>
      <c r="B2150" s="1">
        <v>68</v>
      </c>
      <c r="C2150" s="1">
        <v>1</v>
      </c>
    </row>
    <row r="2151" spans="1:3" x14ac:dyDescent="0.25">
      <c r="A2151" s="1" t="s">
        <v>68</v>
      </c>
      <c r="B2151" s="1">
        <v>28.75</v>
      </c>
      <c r="C2151" s="1">
        <v>1</v>
      </c>
    </row>
    <row r="2152" spans="1:3" x14ac:dyDescent="0.25">
      <c r="A2152" s="1" t="s">
        <v>156</v>
      </c>
      <c r="B2152" s="1"/>
      <c r="C2152" s="1"/>
    </row>
    <row r="2153" spans="1:3" x14ac:dyDescent="0.25">
      <c r="A2153" s="1" t="s">
        <v>1</v>
      </c>
      <c r="B2153" s="1">
        <v>27</v>
      </c>
      <c r="C2153" s="1"/>
    </row>
    <row r="2154" spans="1:3" x14ac:dyDescent="0.25">
      <c r="A2154" s="1" t="s">
        <v>2</v>
      </c>
      <c r="B2154" s="1">
        <v>913.8</v>
      </c>
      <c r="C2154" s="1"/>
    </row>
    <row r="2155" spans="1:3" x14ac:dyDescent="0.25">
      <c r="A2155" s="1" t="s">
        <v>3</v>
      </c>
      <c r="B2155" s="1" t="s">
        <v>4</v>
      </c>
      <c r="C2155" s="1" t="s">
        <v>5</v>
      </c>
    </row>
    <row r="2156" spans="1:3" x14ac:dyDescent="0.25">
      <c r="A2156" s="1" t="s">
        <v>18</v>
      </c>
      <c r="B2156" s="1">
        <v>38.4</v>
      </c>
      <c r="C2156" s="1">
        <v>1</v>
      </c>
    </row>
    <row r="2157" spans="1:3" x14ac:dyDescent="0.25">
      <c r="A2157" s="1" t="s">
        <v>33</v>
      </c>
      <c r="B2157" s="1">
        <v>40</v>
      </c>
      <c r="C2157" s="1">
        <v>1</v>
      </c>
    </row>
    <row r="2158" spans="1:3" x14ac:dyDescent="0.25">
      <c r="A2158" s="1" t="s">
        <v>13</v>
      </c>
      <c r="B2158" s="1">
        <v>38.4</v>
      </c>
      <c r="C2158" s="1">
        <v>1</v>
      </c>
    </row>
    <row r="2159" spans="1:3" x14ac:dyDescent="0.25">
      <c r="A2159" s="1" t="s">
        <v>20</v>
      </c>
      <c r="B2159" s="1">
        <v>192</v>
      </c>
      <c r="C2159" s="1">
        <v>8</v>
      </c>
    </row>
    <row r="2160" spans="1:3" x14ac:dyDescent="0.25">
      <c r="A2160" s="1" t="s">
        <v>8</v>
      </c>
      <c r="B2160" s="1">
        <v>219.2</v>
      </c>
      <c r="C2160" s="1">
        <v>8</v>
      </c>
    </row>
    <row r="2161" spans="1:3" x14ac:dyDescent="0.25">
      <c r="A2161" s="1" t="s">
        <v>57</v>
      </c>
      <c r="B2161" s="1">
        <v>80</v>
      </c>
      <c r="C2161" s="1">
        <v>2</v>
      </c>
    </row>
    <row r="2162" spans="1:3" x14ac:dyDescent="0.25">
      <c r="A2162" s="1" t="s">
        <v>15</v>
      </c>
      <c r="B2162" s="1">
        <v>68</v>
      </c>
      <c r="C2162" s="1">
        <v>1</v>
      </c>
    </row>
    <row r="2163" spans="1:3" x14ac:dyDescent="0.25">
      <c r="A2163" s="1" t="s">
        <v>22</v>
      </c>
      <c r="B2163" s="1">
        <v>54.8</v>
      </c>
      <c r="C2163" s="1">
        <v>1</v>
      </c>
    </row>
    <row r="2164" spans="1:3" x14ac:dyDescent="0.25">
      <c r="A2164" s="1" t="s">
        <v>54</v>
      </c>
      <c r="B2164" s="1">
        <v>38.4</v>
      </c>
      <c r="C2164" s="1">
        <v>1</v>
      </c>
    </row>
    <row r="2165" spans="1:3" x14ac:dyDescent="0.25">
      <c r="A2165" s="1" t="s">
        <v>40</v>
      </c>
      <c r="B2165" s="1">
        <v>109.6</v>
      </c>
      <c r="C2165" s="1">
        <v>2</v>
      </c>
    </row>
    <row r="2166" spans="1:3" x14ac:dyDescent="0.25">
      <c r="A2166" s="1" t="s">
        <v>12</v>
      </c>
      <c r="B2166" s="1">
        <v>35</v>
      </c>
      <c r="C2166" s="1">
        <v>1</v>
      </c>
    </row>
    <row r="2167" spans="1:3" x14ac:dyDescent="0.25">
      <c r="A2167" s="1" t="s">
        <v>157</v>
      </c>
      <c r="B2167" s="1"/>
      <c r="C2167" s="1"/>
    </row>
    <row r="2168" spans="1:3" x14ac:dyDescent="0.25">
      <c r="A2168" s="1" t="s">
        <v>1</v>
      </c>
      <c r="B2168" s="1">
        <v>31</v>
      </c>
      <c r="C2168" s="1"/>
    </row>
    <row r="2169" spans="1:3" x14ac:dyDescent="0.25">
      <c r="A2169" s="1" t="s">
        <v>2</v>
      </c>
      <c r="B2169" s="1">
        <v>1565.4</v>
      </c>
      <c r="C2169" s="1"/>
    </row>
    <row r="2170" spans="1:3" x14ac:dyDescent="0.25">
      <c r="A2170" s="1" t="s">
        <v>3</v>
      </c>
      <c r="B2170" s="1" t="s">
        <v>4</v>
      </c>
      <c r="C2170" s="1" t="s">
        <v>5</v>
      </c>
    </row>
    <row r="2171" spans="1:3" x14ac:dyDescent="0.25">
      <c r="A2171" s="1" t="s">
        <v>57</v>
      </c>
      <c r="B2171" s="1">
        <v>40</v>
      </c>
      <c r="C2171" s="1">
        <v>1</v>
      </c>
    </row>
    <row r="2172" spans="1:3" x14ac:dyDescent="0.25">
      <c r="A2172" s="1" t="s">
        <v>40</v>
      </c>
      <c r="B2172" s="1">
        <v>54.8</v>
      </c>
      <c r="C2172" s="1">
        <v>1</v>
      </c>
    </row>
    <row r="2173" spans="1:3" x14ac:dyDescent="0.25">
      <c r="A2173" s="1" t="s">
        <v>20</v>
      </c>
      <c r="B2173" s="1">
        <v>153.6</v>
      </c>
      <c r="C2173" s="1">
        <v>4</v>
      </c>
    </row>
    <row r="2174" spans="1:3" x14ac:dyDescent="0.25">
      <c r="A2174" s="1" t="s">
        <v>12</v>
      </c>
      <c r="B2174" s="1">
        <v>35</v>
      </c>
      <c r="C2174" s="1">
        <v>1</v>
      </c>
    </row>
    <row r="2175" spans="1:3" x14ac:dyDescent="0.25">
      <c r="A2175" s="1" t="s">
        <v>25</v>
      </c>
      <c r="B2175" s="1">
        <v>40</v>
      </c>
      <c r="C2175" s="1">
        <v>1</v>
      </c>
    </row>
    <row r="2176" spans="1:3" x14ac:dyDescent="0.25">
      <c r="A2176" s="1" t="s">
        <v>49</v>
      </c>
      <c r="B2176" s="1">
        <v>80</v>
      </c>
      <c r="C2176" s="1">
        <v>2</v>
      </c>
    </row>
    <row r="2177" spans="1:3" x14ac:dyDescent="0.25">
      <c r="A2177" s="1" t="s">
        <v>16</v>
      </c>
      <c r="B2177" s="1">
        <v>105.6</v>
      </c>
      <c r="C2177" s="1">
        <v>3</v>
      </c>
    </row>
    <row r="2178" spans="1:3" x14ac:dyDescent="0.25">
      <c r="A2178" s="1" t="s">
        <v>7</v>
      </c>
      <c r="B2178" s="1">
        <v>54.8</v>
      </c>
      <c r="C2178" s="1">
        <v>1</v>
      </c>
    </row>
    <row r="2179" spans="1:3" x14ac:dyDescent="0.25">
      <c r="A2179" s="1" t="s">
        <v>9</v>
      </c>
      <c r="B2179" s="1">
        <v>54.8</v>
      </c>
      <c r="C2179" s="1">
        <v>1</v>
      </c>
    </row>
    <row r="2180" spans="1:3" x14ac:dyDescent="0.25">
      <c r="A2180" s="1" t="s">
        <v>15</v>
      </c>
      <c r="B2180" s="1">
        <v>680</v>
      </c>
      <c r="C2180" s="1">
        <v>11</v>
      </c>
    </row>
    <row r="2181" spans="1:3" x14ac:dyDescent="0.25">
      <c r="A2181" s="1" t="s">
        <v>52</v>
      </c>
      <c r="B2181" s="1">
        <v>64</v>
      </c>
      <c r="C2181" s="1">
        <v>1</v>
      </c>
    </row>
    <row r="2182" spans="1:3" x14ac:dyDescent="0.25">
      <c r="A2182" s="1" t="s">
        <v>54</v>
      </c>
      <c r="B2182" s="1">
        <v>38.4</v>
      </c>
      <c r="C2182" s="1">
        <v>1</v>
      </c>
    </row>
    <row r="2183" spans="1:3" x14ac:dyDescent="0.25">
      <c r="A2183" s="1" t="s">
        <v>21</v>
      </c>
      <c r="B2183" s="1">
        <v>109.6</v>
      </c>
      <c r="C2183" s="1">
        <v>2</v>
      </c>
    </row>
    <row r="2184" spans="1:3" x14ac:dyDescent="0.25">
      <c r="A2184" s="1" t="s">
        <v>8</v>
      </c>
      <c r="B2184" s="1">
        <v>54.8</v>
      </c>
      <c r="C2184" s="1">
        <v>1</v>
      </c>
    </row>
    <row r="2185" spans="1:3" x14ac:dyDescent="0.25">
      <c r="A2185" s="1" t="s">
        <v>158</v>
      </c>
      <c r="B2185" s="1"/>
      <c r="C2185" s="1"/>
    </row>
    <row r="2186" spans="1:3" x14ac:dyDescent="0.25">
      <c r="A2186" s="1" t="s">
        <v>1</v>
      </c>
      <c r="B2186" s="1">
        <v>32</v>
      </c>
      <c r="C2186" s="1"/>
    </row>
    <row r="2187" spans="1:3" x14ac:dyDescent="0.25">
      <c r="A2187" s="1" t="s">
        <v>2</v>
      </c>
      <c r="B2187" s="1">
        <v>1368.65</v>
      </c>
      <c r="C2187" s="1"/>
    </row>
    <row r="2188" spans="1:3" x14ac:dyDescent="0.25">
      <c r="A2188" s="1" t="s">
        <v>3</v>
      </c>
      <c r="B2188" s="1" t="s">
        <v>4</v>
      </c>
      <c r="C2188" s="1" t="s">
        <v>5</v>
      </c>
    </row>
    <row r="2189" spans="1:3" x14ac:dyDescent="0.25">
      <c r="A2189" s="1" t="s">
        <v>57</v>
      </c>
      <c r="B2189" s="1">
        <v>40</v>
      </c>
      <c r="C2189" s="1">
        <v>1</v>
      </c>
    </row>
    <row r="2190" spans="1:3" x14ac:dyDescent="0.25">
      <c r="A2190" s="1" t="s">
        <v>19</v>
      </c>
      <c r="B2190" s="1">
        <v>57.5</v>
      </c>
      <c r="C2190" s="1">
        <v>2</v>
      </c>
    </row>
    <row r="2191" spans="1:3" x14ac:dyDescent="0.25">
      <c r="A2191" s="1" t="s">
        <v>10</v>
      </c>
      <c r="B2191" s="1">
        <v>153.6</v>
      </c>
      <c r="C2191" s="1">
        <v>4</v>
      </c>
    </row>
    <row r="2192" spans="1:3" x14ac:dyDescent="0.25">
      <c r="A2192" s="1" t="s">
        <v>22</v>
      </c>
      <c r="B2192" s="1">
        <v>109.6</v>
      </c>
      <c r="C2192" s="1">
        <v>2</v>
      </c>
    </row>
    <row r="2193" spans="1:3" x14ac:dyDescent="0.25">
      <c r="A2193" s="1" t="s">
        <v>21</v>
      </c>
      <c r="B2193" s="1">
        <v>274</v>
      </c>
      <c r="C2193" s="1">
        <v>5</v>
      </c>
    </row>
    <row r="2194" spans="1:3" x14ac:dyDescent="0.25">
      <c r="A2194" s="1" t="s">
        <v>8</v>
      </c>
      <c r="B2194" s="1">
        <v>109.6</v>
      </c>
      <c r="C2194" s="1">
        <v>2</v>
      </c>
    </row>
    <row r="2195" spans="1:3" x14ac:dyDescent="0.25">
      <c r="A2195" s="1" t="s">
        <v>12</v>
      </c>
      <c r="B2195" s="1">
        <v>140</v>
      </c>
      <c r="C2195" s="1">
        <v>4</v>
      </c>
    </row>
    <row r="2196" spans="1:3" x14ac:dyDescent="0.25">
      <c r="A2196" s="1" t="s">
        <v>9</v>
      </c>
      <c r="B2196" s="1">
        <v>54.8</v>
      </c>
      <c r="C2196" s="1">
        <v>1</v>
      </c>
    </row>
    <row r="2197" spans="1:3" x14ac:dyDescent="0.25">
      <c r="A2197" s="1" t="s">
        <v>7</v>
      </c>
      <c r="B2197" s="1">
        <v>54.8</v>
      </c>
      <c r="C2197" s="1">
        <v>1</v>
      </c>
    </row>
    <row r="2198" spans="1:3" x14ac:dyDescent="0.25">
      <c r="A2198" s="1" t="s">
        <v>11</v>
      </c>
      <c r="B2198" s="1">
        <v>40</v>
      </c>
      <c r="C2198" s="1">
        <v>1</v>
      </c>
    </row>
    <row r="2199" spans="1:3" x14ac:dyDescent="0.25">
      <c r="A2199" s="1" t="s">
        <v>33</v>
      </c>
      <c r="B2199" s="1">
        <v>40</v>
      </c>
      <c r="C2199" s="1">
        <v>1</v>
      </c>
    </row>
    <row r="2200" spans="1:3" x14ac:dyDescent="0.25">
      <c r="A2200" s="1" t="s">
        <v>41</v>
      </c>
      <c r="B2200" s="1">
        <v>28.75</v>
      </c>
      <c r="C2200" s="1">
        <v>1</v>
      </c>
    </row>
    <row r="2201" spans="1:3" x14ac:dyDescent="0.25">
      <c r="A2201" s="1" t="s">
        <v>74</v>
      </c>
      <c r="B2201" s="1">
        <v>74</v>
      </c>
      <c r="C2201" s="1">
        <v>1</v>
      </c>
    </row>
    <row r="2202" spans="1:3" x14ac:dyDescent="0.25">
      <c r="A2202" s="1" t="s">
        <v>56</v>
      </c>
      <c r="B2202" s="1">
        <v>38.4</v>
      </c>
      <c r="C2202" s="1">
        <v>1</v>
      </c>
    </row>
    <row r="2203" spans="1:3" x14ac:dyDescent="0.25">
      <c r="A2203" s="1" t="s">
        <v>18</v>
      </c>
      <c r="B2203" s="1">
        <v>76.8</v>
      </c>
      <c r="C2203" s="1">
        <v>2</v>
      </c>
    </row>
    <row r="2204" spans="1:3" x14ac:dyDescent="0.25">
      <c r="A2204" s="1" t="s">
        <v>27</v>
      </c>
      <c r="B2204" s="1">
        <v>38.4</v>
      </c>
      <c r="C2204" s="1">
        <v>2</v>
      </c>
    </row>
    <row r="2205" spans="1:3" x14ac:dyDescent="0.25">
      <c r="A2205" s="1" t="s">
        <v>44</v>
      </c>
      <c r="B2205" s="1">
        <v>38.4</v>
      </c>
      <c r="C2205" s="1">
        <v>1</v>
      </c>
    </row>
    <row r="2206" spans="1:3" x14ac:dyDescent="0.25">
      <c r="A2206" s="1" t="s">
        <v>159</v>
      </c>
      <c r="B2206" s="1"/>
      <c r="C2206" s="1"/>
    </row>
    <row r="2207" spans="1:3" x14ac:dyDescent="0.25">
      <c r="A2207" s="1" t="s">
        <v>1</v>
      </c>
      <c r="B2207" s="1">
        <v>22</v>
      </c>
      <c r="C2207" s="1"/>
    </row>
    <row r="2208" spans="1:3" x14ac:dyDescent="0.25">
      <c r="A2208" s="1" t="s">
        <v>2</v>
      </c>
      <c r="B2208" s="1">
        <v>893.15</v>
      </c>
      <c r="C2208" s="1"/>
    </row>
    <row r="2209" spans="1:3" x14ac:dyDescent="0.25">
      <c r="A2209" s="1" t="s">
        <v>3</v>
      </c>
      <c r="B2209" s="1" t="s">
        <v>4</v>
      </c>
      <c r="C2209" s="1" t="s">
        <v>5</v>
      </c>
    </row>
    <row r="2210" spans="1:3" x14ac:dyDescent="0.25">
      <c r="A2210" s="1" t="s">
        <v>8</v>
      </c>
      <c r="B2210" s="1">
        <v>54.8</v>
      </c>
      <c r="C2210" s="1">
        <v>1</v>
      </c>
    </row>
    <row r="2211" spans="1:3" x14ac:dyDescent="0.25">
      <c r="A2211" s="1" t="s">
        <v>18</v>
      </c>
      <c r="B2211" s="1">
        <v>115.2</v>
      </c>
      <c r="C2211" s="1">
        <v>3</v>
      </c>
    </row>
    <row r="2212" spans="1:3" x14ac:dyDescent="0.25">
      <c r="A2212" s="1" t="s">
        <v>49</v>
      </c>
      <c r="B2212" s="1">
        <v>80</v>
      </c>
      <c r="C2212" s="1">
        <v>2</v>
      </c>
    </row>
    <row r="2213" spans="1:3" x14ac:dyDescent="0.25">
      <c r="A2213" s="1" t="s">
        <v>7</v>
      </c>
      <c r="B2213" s="1">
        <v>54.8</v>
      </c>
      <c r="C2213" s="1">
        <v>1</v>
      </c>
    </row>
    <row r="2214" spans="1:3" x14ac:dyDescent="0.25">
      <c r="A2214" s="1" t="s">
        <v>57</v>
      </c>
      <c r="B2214" s="1">
        <v>120</v>
      </c>
      <c r="C2214" s="1">
        <v>3</v>
      </c>
    </row>
    <row r="2215" spans="1:3" x14ac:dyDescent="0.25">
      <c r="A2215" s="1" t="s">
        <v>17</v>
      </c>
      <c r="B2215" s="1">
        <v>38.4</v>
      </c>
      <c r="C2215" s="1">
        <v>2</v>
      </c>
    </row>
    <row r="2216" spans="1:3" x14ac:dyDescent="0.25">
      <c r="A2216" s="1" t="s">
        <v>20</v>
      </c>
      <c r="B2216" s="1">
        <v>115.2</v>
      </c>
      <c r="C2216" s="1">
        <v>3</v>
      </c>
    </row>
    <row r="2217" spans="1:3" x14ac:dyDescent="0.25">
      <c r="A2217" s="1" t="s">
        <v>33</v>
      </c>
      <c r="B2217" s="1">
        <v>120</v>
      </c>
      <c r="C2217" s="1">
        <v>3</v>
      </c>
    </row>
    <row r="2218" spans="1:3" x14ac:dyDescent="0.25">
      <c r="A2218" s="1" t="s">
        <v>16</v>
      </c>
      <c r="B2218" s="1">
        <v>35.200000000000003</v>
      </c>
      <c r="C2218" s="1">
        <v>1</v>
      </c>
    </row>
    <row r="2219" spans="1:3" x14ac:dyDescent="0.25">
      <c r="A2219" s="1" t="s">
        <v>40</v>
      </c>
      <c r="B2219" s="1">
        <v>54.8</v>
      </c>
      <c r="C2219" s="1">
        <v>1</v>
      </c>
    </row>
    <row r="2220" spans="1:3" x14ac:dyDescent="0.25">
      <c r="A2220" s="1" t="s">
        <v>21</v>
      </c>
      <c r="B2220" s="1">
        <v>54.8</v>
      </c>
      <c r="C2220" s="1">
        <v>1</v>
      </c>
    </row>
    <row r="2221" spans="1:3" x14ac:dyDescent="0.25">
      <c r="A2221" s="1" t="s">
        <v>67</v>
      </c>
      <c r="B2221" s="1">
        <v>49.95</v>
      </c>
      <c r="C2221" s="1">
        <v>1</v>
      </c>
    </row>
    <row r="2222" spans="1:3" x14ac:dyDescent="0.25">
      <c r="A2222" s="1" t="s">
        <v>160</v>
      </c>
      <c r="B2222" s="1"/>
      <c r="C2222" s="1"/>
    </row>
    <row r="2223" spans="1:3" x14ac:dyDescent="0.25">
      <c r="A2223" s="1" t="s">
        <v>1</v>
      </c>
      <c r="B2223" s="1">
        <v>36</v>
      </c>
      <c r="C2223" s="1"/>
    </row>
    <row r="2224" spans="1:3" x14ac:dyDescent="0.25">
      <c r="A2224" s="1" t="s">
        <v>2</v>
      </c>
      <c r="B2224" s="1">
        <v>1561.1</v>
      </c>
      <c r="C2224" s="1"/>
    </row>
    <row r="2225" spans="1:3" x14ac:dyDescent="0.25">
      <c r="A2225" s="1" t="s">
        <v>3</v>
      </c>
      <c r="B2225" s="1" t="s">
        <v>4</v>
      </c>
      <c r="C2225" s="1" t="s">
        <v>5</v>
      </c>
    </row>
    <row r="2226" spans="1:3" x14ac:dyDescent="0.25">
      <c r="A2226" s="1" t="s">
        <v>21</v>
      </c>
      <c r="B2226" s="1">
        <v>54.8</v>
      </c>
      <c r="C2226" s="1">
        <v>1</v>
      </c>
    </row>
    <row r="2227" spans="1:3" x14ac:dyDescent="0.25">
      <c r="A2227" s="1" t="s">
        <v>78</v>
      </c>
      <c r="B2227" s="1">
        <v>54.8</v>
      </c>
      <c r="C2227" s="1">
        <v>1</v>
      </c>
    </row>
    <row r="2228" spans="1:3" x14ac:dyDescent="0.25">
      <c r="A2228" s="1" t="s">
        <v>20</v>
      </c>
      <c r="B2228" s="1">
        <v>115.2</v>
      </c>
      <c r="C2228" s="1">
        <v>3</v>
      </c>
    </row>
    <row r="2229" spans="1:3" x14ac:dyDescent="0.25">
      <c r="A2229" s="1" t="s">
        <v>8</v>
      </c>
      <c r="B2229" s="1">
        <v>328.8</v>
      </c>
      <c r="C2229" s="1">
        <v>6</v>
      </c>
    </row>
    <row r="2230" spans="1:3" x14ac:dyDescent="0.25">
      <c r="A2230" s="1" t="s">
        <v>16</v>
      </c>
      <c r="B2230" s="1">
        <v>35.200000000000003</v>
      </c>
      <c r="C2230" s="1">
        <v>1</v>
      </c>
    </row>
    <row r="2231" spans="1:3" x14ac:dyDescent="0.25">
      <c r="A2231" s="1" t="s">
        <v>35</v>
      </c>
      <c r="B2231" s="1">
        <v>38.4</v>
      </c>
      <c r="C2231" s="1">
        <v>1</v>
      </c>
    </row>
    <row r="2232" spans="1:3" x14ac:dyDescent="0.25">
      <c r="A2232" s="1" t="s">
        <v>36</v>
      </c>
      <c r="B2232" s="1">
        <v>76.8</v>
      </c>
      <c r="C2232" s="1">
        <v>2</v>
      </c>
    </row>
    <row r="2233" spans="1:3" x14ac:dyDescent="0.25">
      <c r="A2233" s="1" t="s">
        <v>18</v>
      </c>
      <c r="B2233" s="1">
        <v>153.6</v>
      </c>
      <c r="C2233" s="1">
        <v>4</v>
      </c>
    </row>
    <row r="2234" spans="1:3" x14ac:dyDescent="0.25">
      <c r="A2234" s="1" t="s">
        <v>32</v>
      </c>
      <c r="B2234" s="1">
        <v>38.4</v>
      </c>
      <c r="C2234" s="1">
        <v>1</v>
      </c>
    </row>
    <row r="2235" spans="1:3" x14ac:dyDescent="0.25">
      <c r="A2235" s="1" t="s">
        <v>12</v>
      </c>
      <c r="B2235" s="1">
        <v>140</v>
      </c>
      <c r="C2235" s="1">
        <v>4</v>
      </c>
    </row>
    <row r="2236" spans="1:3" x14ac:dyDescent="0.25">
      <c r="A2236" s="1" t="s">
        <v>15</v>
      </c>
      <c r="B2236" s="1">
        <v>136</v>
      </c>
      <c r="C2236" s="1">
        <v>2</v>
      </c>
    </row>
    <row r="2237" spans="1:3" x14ac:dyDescent="0.25">
      <c r="A2237" s="1" t="s">
        <v>49</v>
      </c>
      <c r="B2237" s="1">
        <v>200</v>
      </c>
      <c r="C2237" s="1">
        <v>5</v>
      </c>
    </row>
    <row r="2238" spans="1:3" x14ac:dyDescent="0.25">
      <c r="A2238" s="1" t="s">
        <v>27</v>
      </c>
      <c r="B2238" s="1">
        <v>38.4</v>
      </c>
      <c r="C2238" s="1">
        <v>1</v>
      </c>
    </row>
    <row r="2239" spans="1:3" x14ac:dyDescent="0.25">
      <c r="A2239" s="1" t="s">
        <v>55</v>
      </c>
      <c r="B2239" s="1">
        <v>38.4</v>
      </c>
      <c r="C2239" s="1">
        <v>1</v>
      </c>
    </row>
    <row r="2240" spans="1:3" x14ac:dyDescent="0.25">
      <c r="A2240" s="1" t="s">
        <v>45</v>
      </c>
      <c r="B2240" s="1">
        <v>57.5</v>
      </c>
      <c r="C2240" s="1">
        <v>2</v>
      </c>
    </row>
    <row r="2241" spans="1:3" x14ac:dyDescent="0.25">
      <c r="A2241" s="1" t="s">
        <v>7</v>
      </c>
      <c r="B2241" s="1">
        <v>54.8</v>
      </c>
      <c r="C2241" s="1">
        <v>1</v>
      </c>
    </row>
    <row r="2242" spans="1:3" x14ac:dyDescent="0.25">
      <c r="A2242" s="1" t="s">
        <v>161</v>
      </c>
      <c r="B2242" s="1"/>
      <c r="C2242" s="1"/>
    </row>
    <row r="2243" spans="1:3" x14ac:dyDescent="0.25">
      <c r="A2243" s="1" t="s">
        <v>1</v>
      </c>
      <c r="B2243" s="1">
        <v>24</v>
      </c>
      <c r="C2243" s="1"/>
    </row>
    <row r="2244" spans="1:3" x14ac:dyDescent="0.25">
      <c r="A2244" s="1" t="s">
        <v>2</v>
      </c>
      <c r="B2244" s="1">
        <v>903.4</v>
      </c>
      <c r="C2244" s="1"/>
    </row>
    <row r="2245" spans="1:3" x14ac:dyDescent="0.25">
      <c r="A2245" s="1" t="s">
        <v>3</v>
      </c>
      <c r="B2245" s="1" t="s">
        <v>4</v>
      </c>
      <c r="C2245" s="1" t="s">
        <v>5</v>
      </c>
    </row>
    <row r="2246" spans="1:3" x14ac:dyDescent="0.25">
      <c r="A2246" s="1" t="s">
        <v>20</v>
      </c>
      <c r="B2246" s="1">
        <v>76.8</v>
      </c>
      <c r="C2246" s="1">
        <v>2</v>
      </c>
    </row>
    <row r="2247" spans="1:3" x14ac:dyDescent="0.25">
      <c r="A2247" s="1" t="s">
        <v>8</v>
      </c>
      <c r="B2247" s="1">
        <v>164.4</v>
      </c>
      <c r="C2247" s="1">
        <v>3</v>
      </c>
    </row>
    <row r="2248" spans="1:3" x14ac:dyDescent="0.25">
      <c r="A2248" s="1" t="s">
        <v>13</v>
      </c>
      <c r="B2248" s="1">
        <v>153.6</v>
      </c>
      <c r="C2248" s="1">
        <v>6</v>
      </c>
    </row>
    <row r="2249" spans="1:3" x14ac:dyDescent="0.25">
      <c r="A2249" s="1" t="s">
        <v>10</v>
      </c>
      <c r="B2249" s="1">
        <v>115.2</v>
      </c>
      <c r="C2249" s="1">
        <v>5</v>
      </c>
    </row>
    <row r="2250" spans="1:3" x14ac:dyDescent="0.25">
      <c r="A2250" s="1" t="s">
        <v>17</v>
      </c>
      <c r="B2250" s="1">
        <v>38.4</v>
      </c>
      <c r="C2250" s="1">
        <v>1</v>
      </c>
    </row>
    <row r="2251" spans="1:3" x14ac:dyDescent="0.25">
      <c r="A2251" s="1" t="s">
        <v>12</v>
      </c>
      <c r="B2251" s="1">
        <v>35</v>
      </c>
      <c r="C2251" s="1">
        <v>1</v>
      </c>
    </row>
    <row r="2252" spans="1:3" x14ac:dyDescent="0.25">
      <c r="A2252" s="1" t="s">
        <v>49</v>
      </c>
      <c r="B2252" s="1">
        <v>40</v>
      </c>
      <c r="C2252" s="1">
        <v>1</v>
      </c>
    </row>
    <row r="2253" spans="1:3" x14ac:dyDescent="0.25">
      <c r="A2253" s="1" t="s">
        <v>40</v>
      </c>
      <c r="B2253" s="1">
        <v>54.8</v>
      </c>
      <c r="C2253" s="1">
        <v>1</v>
      </c>
    </row>
    <row r="2254" spans="1:3" x14ac:dyDescent="0.25">
      <c r="A2254" s="1" t="s">
        <v>61</v>
      </c>
      <c r="B2254" s="1">
        <v>64</v>
      </c>
      <c r="C2254" s="1">
        <v>1</v>
      </c>
    </row>
    <row r="2255" spans="1:3" x14ac:dyDescent="0.25">
      <c r="A2255" s="1" t="s">
        <v>54</v>
      </c>
      <c r="B2255" s="1">
        <v>38.4</v>
      </c>
      <c r="C2255" s="1">
        <v>1</v>
      </c>
    </row>
    <row r="2256" spans="1:3" x14ac:dyDescent="0.25">
      <c r="A2256" s="1" t="s">
        <v>7</v>
      </c>
      <c r="B2256" s="1">
        <v>54.8</v>
      </c>
      <c r="C2256" s="1">
        <v>1</v>
      </c>
    </row>
    <row r="2257" spans="1:3" x14ac:dyDescent="0.25">
      <c r="A2257" s="1" t="s">
        <v>15</v>
      </c>
      <c r="B2257" s="1">
        <v>68</v>
      </c>
      <c r="C2257" s="1">
        <v>1</v>
      </c>
    </row>
    <row r="2258" spans="1:3" x14ac:dyDescent="0.25">
      <c r="A2258" s="1" t="s">
        <v>162</v>
      </c>
      <c r="B2258" s="1"/>
      <c r="C2258" s="1"/>
    </row>
    <row r="2259" spans="1:3" x14ac:dyDescent="0.25">
      <c r="A2259" s="1" t="s">
        <v>1</v>
      </c>
      <c r="B2259" s="1">
        <v>35</v>
      </c>
      <c r="C2259" s="1"/>
    </row>
    <row r="2260" spans="1:3" x14ac:dyDescent="0.25">
      <c r="A2260" s="1" t="s">
        <v>2</v>
      </c>
      <c r="B2260" s="1">
        <v>1532.7</v>
      </c>
      <c r="C2260" s="1"/>
    </row>
    <row r="2261" spans="1:3" x14ac:dyDescent="0.25">
      <c r="A2261" s="1" t="s">
        <v>3</v>
      </c>
      <c r="B2261" s="1" t="s">
        <v>4</v>
      </c>
      <c r="C2261" s="1" t="s">
        <v>5</v>
      </c>
    </row>
    <row r="2262" spans="1:3" x14ac:dyDescent="0.25">
      <c r="A2262" s="1" t="s">
        <v>17</v>
      </c>
      <c r="B2262" s="1">
        <v>115.2</v>
      </c>
      <c r="C2262" s="1">
        <v>3</v>
      </c>
    </row>
    <row r="2263" spans="1:3" x14ac:dyDescent="0.25">
      <c r="A2263" s="1" t="s">
        <v>40</v>
      </c>
      <c r="B2263" s="1">
        <v>219.2</v>
      </c>
      <c r="C2263" s="1">
        <v>4</v>
      </c>
    </row>
    <row r="2264" spans="1:3" x14ac:dyDescent="0.25">
      <c r="A2264" s="1" t="s">
        <v>12</v>
      </c>
      <c r="B2264" s="1">
        <v>70</v>
      </c>
      <c r="C2264" s="1">
        <v>2</v>
      </c>
    </row>
    <row r="2265" spans="1:3" x14ac:dyDescent="0.25">
      <c r="A2265" s="1" t="s">
        <v>49</v>
      </c>
      <c r="B2265" s="1">
        <v>80</v>
      </c>
      <c r="C2265" s="1">
        <v>2</v>
      </c>
    </row>
    <row r="2266" spans="1:3" x14ac:dyDescent="0.25">
      <c r="A2266" s="1" t="s">
        <v>19</v>
      </c>
      <c r="B2266" s="1">
        <v>57.5</v>
      </c>
      <c r="C2266" s="1">
        <v>2</v>
      </c>
    </row>
    <row r="2267" spans="1:3" x14ac:dyDescent="0.25">
      <c r="A2267" s="1" t="s">
        <v>8</v>
      </c>
      <c r="B2267" s="1">
        <v>274</v>
      </c>
      <c r="C2267" s="1">
        <v>5</v>
      </c>
    </row>
    <row r="2268" spans="1:3" x14ac:dyDescent="0.25">
      <c r="A2268" s="1" t="s">
        <v>20</v>
      </c>
      <c r="B2268" s="1">
        <v>192</v>
      </c>
      <c r="C2268" s="1">
        <v>5</v>
      </c>
    </row>
    <row r="2269" spans="1:3" x14ac:dyDescent="0.25">
      <c r="A2269" s="1" t="s">
        <v>27</v>
      </c>
      <c r="B2269" s="1">
        <v>76.8</v>
      </c>
      <c r="C2269" s="1">
        <v>2</v>
      </c>
    </row>
    <row r="2270" spans="1:3" x14ac:dyDescent="0.25">
      <c r="A2270" s="1" t="s">
        <v>10</v>
      </c>
      <c r="B2270" s="1">
        <v>38.4</v>
      </c>
      <c r="C2270" s="1">
        <v>1</v>
      </c>
    </row>
    <row r="2271" spans="1:3" x14ac:dyDescent="0.25">
      <c r="A2271" s="1" t="s">
        <v>35</v>
      </c>
      <c r="B2271" s="1">
        <v>38.4</v>
      </c>
      <c r="C2271" s="1">
        <v>1</v>
      </c>
    </row>
    <row r="2272" spans="1:3" x14ac:dyDescent="0.25">
      <c r="A2272" s="1" t="s">
        <v>15</v>
      </c>
      <c r="B2272" s="1">
        <v>68</v>
      </c>
      <c r="C2272" s="1">
        <v>1</v>
      </c>
    </row>
    <row r="2273" spans="1:3" x14ac:dyDescent="0.25">
      <c r="A2273" s="1" t="s">
        <v>18</v>
      </c>
      <c r="B2273" s="1">
        <v>38.4</v>
      </c>
      <c r="C2273" s="1">
        <v>1</v>
      </c>
    </row>
    <row r="2274" spans="1:3" x14ac:dyDescent="0.25">
      <c r="A2274" s="1" t="s">
        <v>7</v>
      </c>
      <c r="B2274" s="1">
        <v>109.6</v>
      </c>
      <c r="C2274" s="1">
        <v>2</v>
      </c>
    </row>
    <row r="2275" spans="1:3" x14ac:dyDescent="0.25">
      <c r="A2275" s="1" t="s">
        <v>56</v>
      </c>
      <c r="B2275" s="1">
        <v>38.4</v>
      </c>
      <c r="C2275" s="1">
        <v>1</v>
      </c>
    </row>
    <row r="2276" spans="1:3" x14ac:dyDescent="0.25">
      <c r="A2276" s="1" t="s">
        <v>44</v>
      </c>
      <c r="B2276" s="1">
        <v>38.4</v>
      </c>
      <c r="C2276" s="1">
        <v>1</v>
      </c>
    </row>
    <row r="2277" spans="1:3" x14ac:dyDescent="0.25">
      <c r="A2277" s="1" t="s">
        <v>54</v>
      </c>
      <c r="B2277" s="1">
        <v>38.4</v>
      </c>
      <c r="C2277" s="1">
        <v>1</v>
      </c>
    </row>
    <row r="2278" spans="1:3" x14ac:dyDescent="0.25">
      <c r="A2278" s="1" t="s">
        <v>59</v>
      </c>
      <c r="B2278" s="1">
        <v>40</v>
      </c>
      <c r="C2278" s="1">
        <v>1</v>
      </c>
    </row>
    <row r="2279" spans="1:3" x14ac:dyDescent="0.25">
      <c r="A2279" s="1" t="s">
        <v>163</v>
      </c>
      <c r="B2279" s="1"/>
      <c r="C2279" s="1"/>
    </row>
    <row r="2280" spans="1:3" x14ac:dyDescent="0.25">
      <c r="A2280" s="1" t="s">
        <v>1</v>
      </c>
      <c r="B2280" s="1">
        <v>56</v>
      </c>
      <c r="C2280" s="1"/>
    </row>
    <row r="2281" spans="1:3" x14ac:dyDescent="0.25">
      <c r="A2281" s="1" t="s">
        <v>2</v>
      </c>
      <c r="B2281" s="1">
        <v>2115.69</v>
      </c>
      <c r="C2281" s="1"/>
    </row>
    <row r="2282" spans="1:3" x14ac:dyDescent="0.25">
      <c r="A2282" s="1" t="s">
        <v>3</v>
      </c>
      <c r="B2282" s="1" t="s">
        <v>4</v>
      </c>
      <c r="C2282" s="1" t="s">
        <v>5</v>
      </c>
    </row>
    <row r="2283" spans="1:3" x14ac:dyDescent="0.25">
      <c r="A2283" s="1" t="s">
        <v>8</v>
      </c>
      <c r="B2283" s="1">
        <v>438.4</v>
      </c>
      <c r="C2283" s="1">
        <v>10</v>
      </c>
    </row>
    <row r="2284" spans="1:3" x14ac:dyDescent="0.25">
      <c r="A2284" s="1" t="s">
        <v>18</v>
      </c>
      <c r="B2284" s="1">
        <v>153.6</v>
      </c>
      <c r="C2284" s="1">
        <v>4</v>
      </c>
    </row>
    <row r="2285" spans="1:3" x14ac:dyDescent="0.25">
      <c r="A2285" s="1" t="s">
        <v>20</v>
      </c>
      <c r="B2285" s="1">
        <v>192</v>
      </c>
      <c r="C2285" s="1">
        <v>8</v>
      </c>
    </row>
    <row r="2286" spans="1:3" x14ac:dyDescent="0.25">
      <c r="A2286" s="1" t="s">
        <v>57</v>
      </c>
      <c r="B2286" s="1">
        <v>40</v>
      </c>
      <c r="C2286" s="1">
        <v>1</v>
      </c>
    </row>
    <row r="2287" spans="1:3" x14ac:dyDescent="0.25">
      <c r="A2287" s="1" t="s">
        <v>12</v>
      </c>
      <c r="B2287" s="1">
        <v>175</v>
      </c>
      <c r="C2287" s="1">
        <v>5</v>
      </c>
    </row>
    <row r="2288" spans="1:3" x14ac:dyDescent="0.25">
      <c r="A2288" s="1" t="s">
        <v>22</v>
      </c>
      <c r="B2288" s="1">
        <v>54.8</v>
      </c>
      <c r="C2288" s="1">
        <v>1</v>
      </c>
    </row>
    <row r="2289" spans="1:3" x14ac:dyDescent="0.25">
      <c r="A2289" s="1" t="s">
        <v>15</v>
      </c>
      <c r="B2289" s="1">
        <v>204</v>
      </c>
      <c r="C2289" s="1">
        <v>3</v>
      </c>
    </row>
    <row r="2290" spans="1:3" x14ac:dyDescent="0.25">
      <c r="A2290" s="1" t="s">
        <v>49</v>
      </c>
      <c r="B2290" s="1">
        <v>360</v>
      </c>
      <c r="C2290" s="1">
        <v>10</v>
      </c>
    </row>
    <row r="2291" spans="1:3" x14ac:dyDescent="0.25">
      <c r="A2291" s="1" t="s">
        <v>16</v>
      </c>
      <c r="B2291" s="1">
        <v>35.200000000000003</v>
      </c>
      <c r="C2291" s="1">
        <v>1</v>
      </c>
    </row>
    <row r="2292" spans="1:3" x14ac:dyDescent="0.25">
      <c r="A2292" s="1" t="s">
        <v>19</v>
      </c>
      <c r="B2292" s="1">
        <v>28.75</v>
      </c>
      <c r="C2292" s="1">
        <v>1</v>
      </c>
    </row>
    <row r="2293" spans="1:3" x14ac:dyDescent="0.25">
      <c r="A2293" s="1" t="s">
        <v>40</v>
      </c>
      <c r="B2293" s="1">
        <v>54.8</v>
      </c>
      <c r="C2293" s="1">
        <v>1</v>
      </c>
    </row>
    <row r="2294" spans="1:3" x14ac:dyDescent="0.25">
      <c r="A2294" s="1" t="s">
        <v>7</v>
      </c>
      <c r="B2294" s="1">
        <v>164.4</v>
      </c>
      <c r="C2294" s="1">
        <v>5</v>
      </c>
    </row>
    <row r="2295" spans="1:3" x14ac:dyDescent="0.25">
      <c r="A2295" s="1" t="s">
        <v>41</v>
      </c>
      <c r="B2295" s="1">
        <v>28.75</v>
      </c>
      <c r="C2295" s="1">
        <v>1</v>
      </c>
    </row>
    <row r="2296" spans="1:3" x14ac:dyDescent="0.25">
      <c r="A2296" s="1" t="s">
        <v>17</v>
      </c>
      <c r="B2296" s="1">
        <v>38.4</v>
      </c>
      <c r="C2296" s="1">
        <v>1</v>
      </c>
    </row>
    <row r="2297" spans="1:3" x14ac:dyDescent="0.25">
      <c r="A2297" s="1" t="s">
        <v>21</v>
      </c>
      <c r="B2297" s="1">
        <v>54.8</v>
      </c>
      <c r="C2297" s="1">
        <v>1</v>
      </c>
    </row>
    <row r="2298" spans="1:3" x14ac:dyDescent="0.25">
      <c r="A2298" s="1" t="s">
        <v>30</v>
      </c>
      <c r="B2298" s="1">
        <v>15.99</v>
      </c>
      <c r="C2298" s="1">
        <v>1</v>
      </c>
    </row>
    <row r="2299" spans="1:3" x14ac:dyDescent="0.25">
      <c r="A2299" s="1" t="s">
        <v>62</v>
      </c>
      <c r="B2299" s="1">
        <v>38.4</v>
      </c>
      <c r="C2299" s="1">
        <v>1</v>
      </c>
    </row>
    <row r="2300" spans="1:3" x14ac:dyDescent="0.25">
      <c r="A2300" s="1" t="s">
        <v>27</v>
      </c>
      <c r="B2300" s="1">
        <v>38.4</v>
      </c>
      <c r="C2300" s="1">
        <v>1</v>
      </c>
    </row>
    <row r="2301" spans="1:3" x14ac:dyDescent="0.25">
      <c r="A2301" s="1" t="s">
        <v>164</v>
      </c>
      <c r="B2301" s="1"/>
      <c r="C2301" s="1"/>
    </row>
    <row r="2302" spans="1:3" x14ac:dyDescent="0.25">
      <c r="A2302" s="1" t="s">
        <v>1</v>
      </c>
      <c r="B2302" s="1">
        <v>23</v>
      </c>
      <c r="C2302" s="1"/>
    </row>
    <row r="2303" spans="1:3" x14ac:dyDescent="0.25">
      <c r="A2303" s="1" t="s">
        <v>2</v>
      </c>
      <c r="B2303" s="1">
        <v>1076.9000000000001</v>
      </c>
      <c r="C2303" s="1"/>
    </row>
    <row r="2304" spans="1:3" x14ac:dyDescent="0.25">
      <c r="A2304" s="1" t="s">
        <v>3</v>
      </c>
      <c r="B2304" s="1" t="s">
        <v>4</v>
      </c>
      <c r="C2304" s="1" t="s">
        <v>5</v>
      </c>
    </row>
    <row r="2305" spans="1:3" x14ac:dyDescent="0.25">
      <c r="A2305" s="1" t="s">
        <v>18</v>
      </c>
      <c r="B2305" s="1">
        <v>38.4</v>
      </c>
      <c r="C2305" s="1">
        <v>1</v>
      </c>
    </row>
    <row r="2306" spans="1:3" x14ac:dyDescent="0.25">
      <c r="A2306" s="1" t="s">
        <v>52</v>
      </c>
      <c r="B2306" s="1">
        <v>256</v>
      </c>
      <c r="C2306" s="1">
        <v>5</v>
      </c>
    </row>
    <row r="2307" spans="1:3" x14ac:dyDescent="0.25">
      <c r="A2307" s="1" t="s">
        <v>20</v>
      </c>
      <c r="B2307" s="1">
        <v>115.2</v>
      </c>
      <c r="C2307" s="1">
        <v>3</v>
      </c>
    </row>
    <row r="2308" spans="1:3" x14ac:dyDescent="0.25">
      <c r="A2308" s="1" t="s">
        <v>8</v>
      </c>
      <c r="B2308" s="1">
        <v>383.6</v>
      </c>
      <c r="C2308" s="1">
        <v>7</v>
      </c>
    </row>
    <row r="2309" spans="1:3" x14ac:dyDescent="0.25">
      <c r="A2309" s="1" t="s">
        <v>21</v>
      </c>
      <c r="B2309" s="1">
        <v>54.8</v>
      </c>
      <c r="C2309" s="1">
        <v>1</v>
      </c>
    </row>
    <row r="2310" spans="1:3" x14ac:dyDescent="0.25">
      <c r="A2310" s="1" t="s">
        <v>50</v>
      </c>
      <c r="B2310" s="1">
        <v>42.5</v>
      </c>
      <c r="C2310" s="1">
        <v>1</v>
      </c>
    </row>
    <row r="2311" spans="1:3" x14ac:dyDescent="0.25">
      <c r="A2311" s="1" t="s">
        <v>56</v>
      </c>
      <c r="B2311" s="1">
        <v>38.4</v>
      </c>
      <c r="C2311" s="1">
        <v>1</v>
      </c>
    </row>
    <row r="2312" spans="1:3" x14ac:dyDescent="0.25">
      <c r="A2312" s="1" t="s">
        <v>7</v>
      </c>
      <c r="B2312" s="1">
        <v>109.6</v>
      </c>
      <c r="C2312" s="1">
        <v>2</v>
      </c>
    </row>
    <row r="2313" spans="1:3" x14ac:dyDescent="0.25">
      <c r="A2313" s="1" t="s">
        <v>54</v>
      </c>
      <c r="B2313" s="1">
        <v>38.4</v>
      </c>
      <c r="C2313" s="1">
        <v>2</v>
      </c>
    </row>
    <row r="2314" spans="1:3" x14ac:dyDescent="0.25">
      <c r="A2314" s="1" t="s">
        <v>165</v>
      </c>
      <c r="B2314" s="1"/>
      <c r="C2314" s="1"/>
    </row>
    <row r="2315" spans="1:3" x14ac:dyDescent="0.25">
      <c r="A2315" s="1" t="s">
        <v>1</v>
      </c>
      <c r="B2315" s="1">
        <v>30</v>
      </c>
      <c r="C2315" s="1"/>
    </row>
    <row r="2316" spans="1:3" x14ac:dyDescent="0.25">
      <c r="A2316" s="1" t="s">
        <v>2</v>
      </c>
      <c r="B2316" s="1">
        <v>1239.5999999999999</v>
      </c>
      <c r="C2316" s="1"/>
    </row>
    <row r="2317" spans="1:3" x14ac:dyDescent="0.25">
      <c r="A2317" s="1" t="s">
        <v>3</v>
      </c>
      <c r="B2317" s="1" t="s">
        <v>4</v>
      </c>
      <c r="C2317" s="1" t="s">
        <v>5</v>
      </c>
    </row>
    <row r="2318" spans="1:3" x14ac:dyDescent="0.25">
      <c r="A2318" s="1" t="s">
        <v>18</v>
      </c>
      <c r="B2318" s="1">
        <v>38.4</v>
      </c>
      <c r="C2318" s="1">
        <v>1</v>
      </c>
    </row>
    <row r="2319" spans="1:3" x14ac:dyDescent="0.25">
      <c r="A2319" s="1" t="s">
        <v>21</v>
      </c>
      <c r="B2319" s="1">
        <v>54.8</v>
      </c>
      <c r="C2319" s="1">
        <v>1</v>
      </c>
    </row>
    <row r="2320" spans="1:3" x14ac:dyDescent="0.25">
      <c r="A2320" s="1" t="s">
        <v>20</v>
      </c>
      <c r="B2320" s="1">
        <v>153.6</v>
      </c>
      <c r="C2320" s="1">
        <v>6</v>
      </c>
    </row>
    <row r="2321" spans="1:3" x14ac:dyDescent="0.25">
      <c r="A2321" s="1" t="s">
        <v>17</v>
      </c>
      <c r="B2321" s="1">
        <v>307.2</v>
      </c>
      <c r="C2321" s="1">
        <v>9</v>
      </c>
    </row>
    <row r="2322" spans="1:3" x14ac:dyDescent="0.25">
      <c r="A2322" s="1" t="s">
        <v>40</v>
      </c>
      <c r="B2322" s="1">
        <v>54.8</v>
      </c>
      <c r="C2322" s="1">
        <v>1</v>
      </c>
    </row>
    <row r="2323" spans="1:3" x14ac:dyDescent="0.25">
      <c r="A2323" s="1" t="s">
        <v>8</v>
      </c>
      <c r="B2323" s="1">
        <v>219.2</v>
      </c>
      <c r="C2323" s="1">
        <v>4</v>
      </c>
    </row>
    <row r="2324" spans="1:3" x14ac:dyDescent="0.25">
      <c r="A2324" s="1" t="s">
        <v>7</v>
      </c>
      <c r="B2324" s="1">
        <v>274</v>
      </c>
      <c r="C2324" s="1">
        <v>5</v>
      </c>
    </row>
    <row r="2325" spans="1:3" x14ac:dyDescent="0.25">
      <c r="A2325" s="1" t="s">
        <v>16</v>
      </c>
      <c r="B2325" s="1">
        <v>35.200000000000003</v>
      </c>
      <c r="C2325" s="1">
        <v>1</v>
      </c>
    </row>
    <row r="2326" spans="1:3" x14ac:dyDescent="0.25">
      <c r="A2326" s="1" t="s">
        <v>54</v>
      </c>
      <c r="B2326" s="1">
        <v>38.4</v>
      </c>
      <c r="C2326" s="1">
        <v>1</v>
      </c>
    </row>
    <row r="2327" spans="1:3" x14ac:dyDescent="0.25">
      <c r="A2327" s="1" t="s">
        <v>52</v>
      </c>
      <c r="B2327" s="1">
        <v>64</v>
      </c>
      <c r="C2327" s="1">
        <v>1</v>
      </c>
    </row>
    <row r="2328" spans="1:3" x14ac:dyDescent="0.25">
      <c r="A2328" s="1" t="s">
        <v>166</v>
      </c>
      <c r="B2328" s="1"/>
      <c r="C2328" s="1"/>
    </row>
    <row r="2329" spans="1:3" x14ac:dyDescent="0.25">
      <c r="A2329" s="1" t="s">
        <v>1</v>
      </c>
      <c r="B2329" s="1">
        <v>19</v>
      </c>
      <c r="C2329" s="1"/>
    </row>
    <row r="2330" spans="1:3" x14ac:dyDescent="0.25">
      <c r="A2330" s="1" t="s">
        <v>2</v>
      </c>
      <c r="B2330" s="1">
        <v>892.4</v>
      </c>
      <c r="C2330" s="1"/>
    </row>
    <row r="2331" spans="1:3" x14ac:dyDescent="0.25">
      <c r="A2331" s="1" t="s">
        <v>3</v>
      </c>
      <c r="B2331" s="1" t="s">
        <v>4</v>
      </c>
      <c r="C2331" s="1" t="s">
        <v>5</v>
      </c>
    </row>
    <row r="2332" spans="1:3" x14ac:dyDescent="0.25">
      <c r="A2332" s="1" t="s">
        <v>12</v>
      </c>
      <c r="B2332" s="1">
        <v>70</v>
      </c>
      <c r="C2332" s="1">
        <v>2</v>
      </c>
    </row>
    <row r="2333" spans="1:3" x14ac:dyDescent="0.25">
      <c r="A2333" s="1" t="s">
        <v>57</v>
      </c>
      <c r="B2333" s="1">
        <v>40</v>
      </c>
      <c r="C2333" s="1">
        <v>1</v>
      </c>
    </row>
    <row r="2334" spans="1:3" x14ac:dyDescent="0.25">
      <c r="A2334" s="1" t="s">
        <v>18</v>
      </c>
      <c r="B2334" s="1">
        <v>38.4</v>
      </c>
      <c r="C2334" s="1">
        <v>1</v>
      </c>
    </row>
    <row r="2335" spans="1:3" x14ac:dyDescent="0.25">
      <c r="A2335" s="1" t="s">
        <v>40</v>
      </c>
      <c r="B2335" s="1">
        <v>164.4</v>
      </c>
      <c r="C2335" s="1">
        <v>3</v>
      </c>
    </row>
    <row r="2336" spans="1:3" x14ac:dyDescent="0.25">
      <c r="A2336" s="1" t="s">
        <v>49</v>
      </c>
      <c r="B2336" s="1">
        <v>120</v>
      </c>
      <c r="C2336" s="1">
        <v>3</v>
      </c>
    </row>
    <row r="2337" spans="1:3" x14ac:dyDescent="0.25">
      <c r="A2337" s="1" t="s">
        <v>52</v>
      </c>
      <c r="B2337" s="1">
        <v>128</v>
      </c>
      <c r="C2337" s="1">
        <v>2</v>
      </c>
    </row>
    <row r="2338" spans="1:3" x14ac:dyDescent="0.25">
      <c r="A2338" s="1" t="s">
        <v>17</v>
      </c>
      <c r="B2338" s="1">
        <v>38.4</v>
      </c>
      <c r="C2338" s="1">
        <v>1</v>
      </c>
    </row>
    <row r="2339" spans="1:3" x14ac:dyDescent="0.25">
      <c r="A2339" s="1" t="s">
        <v>8</v>
      </c>
      <c r="B2339" s="1">
        <v>164.4</v>
      </c>
      <c r="C2339" s="1">
        <v>4</v>
      </c>
    </row>
    <row r="2340" spans="1:3" x14ac:dyDescent="0.25">
      <c r="A2340" s="1" t="s">
        <v>74</v>
      </c>
      <c r="B2340" s="1">
        <v>74</v>
      </c>
      <c r="C2340" s="1">
        <v>1</v>
      </c>
    </row>
    <row r="2341" spans="1:3" x14ac:dyDescent="0.25">
      <c r="A2341" s="1" t="s">
        <v>22</v>
      </c>
      <c r="B2341" s="1">
        <v>54.8</v>
      </c>
      <c r="C2341" s="1">
        <v>1</v>
      </c>
    </row>
    <row r="2342" spans="1:3" x14ac:dyDescent="0.25">
      <c r="A2342" s="1" t="s">
        <v>167</v>
      </c>
      <c r="B2342" s="1"/>
      <c r="C2342" s="1"/>
    </row>
    <row r="2343" spans="1:3" x14ac:dyDescent="0.25">
      <c r="A2343" s="1" t="s">
        <v>1</v>
      </c>
      <c r="B2343" s="1">
        <v>34</v>
      </c>
      <c r="C2343" s="1"/>
    </row>
    <row r="2344" spans="1:3" x14ac:dyDescent="0.25">
      <c r="A2344" s="1" t="s">
        <v>2</v>
      </c>
      <c r="B2344" s="1">
        <v>1613.3</v>
      </c>
      <c r="C2344" s="1"/>
    </row>
    <row r="2345" spans="1:3" x14ac:dyDescent="0.25">
      <c r="A2345" s="1" t="s">
        <v>3</v>
      </c>
      <c r="B2345" s="1" t="s">
        <v>4</v>
      </c>
      <c r="C2345" s="1" t="s">
        <v>5</v>
      </c>
    </row>
    <row r="2346" spans="1:3" x14ac:dyDescent="0.25">
      <c r="A2346" s="1" t="s">
        <v>17</v>
      </c>
      <c r="B2346" s="1">
        <v>38.4</v>
      </c>
      <c r="C2346" s="1">
        <v>1</v>
      </c>
    </row>
    <row r="2347" spans="1:3" x14ac:dyDescent="0.25">
      <c r="A2347" s="1" t="s">
        <v>8</v>
      </c>
      <c r="B2347" s="1">
        <v>219.2</v>
      </c>
      <c r="C2347" s="1">
        <v>4</v>
      </c>
    </row>
    <row r="2348" spans="1:3" x14ac:dyDescent="0.25">
      <c r="A2348" s="1" t="s">
        <v>19</v>
      </c>
      <c r="B2348" s="1">
        <v>28.75</v>
      </c>
      <c r="C2348" s="1">
        <v>1</v>
      </c>
    </row>
    <row r="2349" spans="1:3" x14ac:dyDescent="0.25">
      <c r="A2349" s="1" t="s">
        <v>21</v>
      </c>
      <c r="B2349" s="1">
        <v>164.4</v>
      </c>
      <c r="C2349" s="1">
        <v>3</v>
      </c>
    </row>
    <row r="2350" spans="1:3" x14ac:dyDescent="0.25">
      <c r="A2350" s="1" t="s">
        <v>18</v>
      </c>
      <c r="B2350" s="1">
        <v>38.4</v>
      </c>
      <c r="C2350" s="1">
        <v>1</v>
      </c>
    </row>
    <row r="2351" spans="1:3" x14ac:dyDescent="0.25">
      <c r="A2351" s="1" t="s">
        <v>20</v>
      </c>
      <c r="B2351" s="1">
        <v>115.2</v>
      </c>
      <c r="C2351" s="1">
        <v>3</v>
      </c>
    </row>
    <row r="2352" spans="1:3" x14ac:dyDescent="0.25">
      <c r="A2352" s="1" t="s">
        <v>15</v>
      </c>
      <c r="B2352" s="1">
        <v>408</v>
      </c>
      <c r="C2352" s="1">
        <v>6</v>
      </c>
    </row>
    <row r="2353" spans="1:3" x14ac:dyDescent="0.25">
      <c r="A2353" s="1" t="s">
        <v>16</v>
      </c>
      <c r="B2353" s="1">
        <v>211.2</v>
      </c>
      <c r="C2353" s="1">
        <v>6</v>
      </c>
    </row>
    <row r="2354" spans="1:3" x14ac:dyDescent="0.25">
      <c r="A2354" s="1" t="s">
        <v>12</v>
      </c>
      <c r="B2354" s="1">
        <v>35</v>
      </c>
      <c r="C2354" s="1">
        <v>1</v>
      </c>
    </row>
    <row r="2355" spans="1:3" x14ac:dyDescent="0.25">
      <c r="A2355" s="1" t="s">
        <v>49</v>
      </c>
      <c r="B2355" s="1">
        <v>80</v>
      </c>
      <c r="C2355" s="1">
        <v>2</v>
      </c>
    </row>
    <row r="2356" spans="1:3" x14ac:dyDescent="0.25">
      <c r="A2356" s="1" t="s">
        <v>65</v>
      </c>
      <c r="B2356" s="1">
        <v>49.95</v>
      </c>
      <c r="C2356" s="1">
        <v>1</v>
      </c>
    </row>
    <row r="2357" spans="1:3" x14ac:dyDescent="0.25">
      <c r="A2357" s="1" t="s">
        <v>13</v>
      </c>
      <c r="B2357" s="1">
        <v>38.4</v>
      </c>
      <c r="C2357" s="1">
        <v>1</v>
      </c>
    </row>
    <row r="2358" spans="1:3" x14ac:dyDescent="0.25">
      <c r="A2358" s="1" t="s">
        <v>37</v>
      </c>
      <c r="B2358" s="1">
        <v>54.8</v>
      </c>
      <c r="C2358" s="1">
        <v>1</v>
      </c>
    </row>
    <row r="2359" spans="1:3" x14ac:dyDescent="0.25">
      <c r="A2359" s="1" t="s">
        <v>56</v>
      </c>
      <c r="B2359" s="1">
        <v>38.4</v>
      </c>
      <c r="C2359" s="1">
        <v>1</v>
      </c>
    </row>
    <row r="2360" spans="1:3" x14ac:dyDescent="0.25">
      <c r="A2360" s="1" t="s">
        <v>40</v>
      </c>
      <c r="B2360" s="1">
        <v>54.8</v>
      </c>
      <c r="C2360" s="1">
        <v>1</v>
      </c>
    </row>
    <row r="2361" spans="1:3" x14ac:dyDescent="0.25">
      <c r="A2361" s="1" t="s">
        <v>62</v>
      </c>
      <c r="B2361" s="1">
        <v>38.4</v>
      </c>
      <c r="C2361" s="1">
        <v>1</v>
      </c>
    </row>
    <row r="2362" spans="1:3" x14ac:dyDescent="0.25">
      <c r="A2362" s="1" t="s">
        <v>168</v>
      </c>
      <c r="B2362" s="1"/>
      <c r="C2362" s="1"/>
    </row>
    <row r="2363" spans="1:3" x14ac:dyDescent="0.25">
      <c r="A2363" s="1" t="s">
        <v>1</v>
      </c>
      <c r="B2363" s="1">
        <v>60</v>
      </c>
      <c r="C2363" s="1"/>
    </row>
    <row r="2364" spans="1:3" x14ac:dyDescent="0.25">
      <c r="A2364" s="1" t="s">
        <v>2</v>
      </c>
      <c r="B2364" s="1">
        <v>2567.3000000000002</v>
      </c>
      <c r="C2364" s="1"/>
    </row>
    <row r="2365" spans="1:3" x14ac:dyDescent="0.25">
      <c r="A2365" s="1" t="s">
        <v>3</v>
      </c>
      <c r="B2365" s="1" t="s">
        <v>4</v>
      </c>
      <c r="C2365" s="1" t="s">
        <v>5</v>
      </c>
    </row>
    <row r="2366" spans="1:3" x14ac:dyDescent="0.25">
      <c r="A2366" s="1" t="s">
        <v>20</v>
      </c>
      <c r="B2366" s="1">
        <v>499.2</v>
      </c>
      <c r="C2366" s="1">
        <v>13</v>
      </c>
    </row>
    <row r="2367" spans="1:3" x14ac:dyDescent="0.25">
      <c r="A2367" s="1" t="s">
        <v>11</v>
      </c>
      <c r="B2367" s="1">
        <v>40</v>
      </c>
      <c r="C2367" s="1">
        <v>1</v>
      </c>
    </row>
    <row r="2368" spans="1:3" x14ac:dyDescent="0.25">
      <c r="A2368" s="1" t="s">
        <v>18</v>
      </c>
      <c r="B2368" s="1">
        <v>230.4</v>
      </c>
      <c r="C2368" s="1">
        <v>6</v>
      </c>
    </row>
    <row r="2369" spans="1:3" x14ac:dyDescent="0.25">
      <c r="A2369" s="1" t="s">
        <v>8</v>
      </c>
      <c r="B2369" s="1">
        <v>328.8</v>
      </c>
      <c r="C2369" s="1">
        <v>7</v>
      </c>
    </row>
    <row r="2370" spans="1:3" x14ac:dyDescent="0.25">
      <c r="A2370" s="1" t="s">
        <v>14</v>
      </c>
      <c r="B2370" s="1">
        <v>57.5</v>
      </c>
      <c r="C2370" s="1">
        <v>2</v>
      </c>
    </row>
    <row r="2371" spans="1:3" x14ac:dyDescent="0.25">
      <c r="A2371" s="1" t="s">
        <v>21</v>
      </c>
      <c r="B2371" s="1">
        <v>54.8</v>
      </c>
      <c r="C2371" s="1">
        <v>1</v>
      </c>
    </row>
    <row r="2372" spans="1:3" x14ac:dyDescent="0.25">
      <c r="A2372" s="1" t="s">
        <v>15</v>
      </c>
      <c r="B2372" s="1">
        <v>340</v>
      </c>
      <c r="C2372" s="1">
        <v>6</v>
      </c>
    </row>
    <row r="2373" spans="1:3" x14ac:dyDescent="0.25">
      <c r="A2373" s="1" t="s">
        <v>22</v>
      </c>
      <c r="B2373" s="1">
        <v>109.6</v>
      </c>
      <c r="C2373" s="1">
        <v>2</v>
      </c>
    </row>
    <row r="2374" spans="1:3" x14ac:dyDescent="0.25">
      <c r="A2374" s="1" t="s">
        <v>17</v>
      </c>
      <c r="B2374" s="1">
        <v>76.8</v>
      </c>
      <c r="C2374" s="1">
        <v>2</v>
      </c>
    </row>
    <row r="2375" spans="1:3" x14ac:dyDescent="0.25">
      <c r="A2375" s="1" t="s">
        <v>49</v>
      </c>
      <c r="B2375" s="1">
        <v>120</v>
      </c>
      <c r="C2375" s="1">
        <v>3</v>
      </c>
    </row>
    <row r="2376" spans="1:3" x14ac:dyDescent="0.25">
      <c r="A2376" s="1" t="s">
        <v>12</v>
      </c>
      <c r="B2376" s="1">
        <v>175</v>
      </c>
      <c r="C2376" s="1">
        <v>5</v>
      </c>
    </row>
    <row r="2377" spans="1:3" x14ac:dyDescent="0.25">
      <c r="A2377" s="1" t="s">
        <v>16</v>
      </c>
      <c r="B2377" s="1">
        <v>140.80000000000001</v>
      </c>
      <c r="C2377" s="1">
        <v>4</v>
      </c>
    </row>
    <row r="2378" spans="1:3" x14ac:dyDescent="0.25">
      <c r="A2378" s="1" t="s">
        <v>52</v>
      </c>
      <c r="B2378" s="1">
        <v>64</v>
      </c>
      <c r="C2378" s="1">
        <v>1</v>
      </c>
    </row>
    <row r="2379" spans="1:3" x14ac:dyDescent="0.25">
      <c r="A2379" s="1" t="s">
        <v>40</v>
      </c>
      <c r="B2379" s="1">
        <v>109.6</v>
      </c>
      <c r="C2379" s="1">
        <v>2</v>
      </c>
    </row>
    <row r="2380" spans="1:3" x14ac:dyDescent="0.25">
      <c r="A2380" s="1" t="s">
        <v>13</v>
      </c>
      <c r="B2380" s="1">
        <v>38.4</v>
      </c>
      <c r="C2380" s="1">
        <v>1</v>
      </c>
    </row>
    <row r="2381" spans="1:3" x14ac:dyDescent="0.25">
      <c r="A2381" s="1" t="s">
        <v>35</v>
      </c>
      <c r="B2381" s="1">
        <v>38.4</v>
      </c>
      <c r="C2381" s="1">
        <v>1</v>
      </c>
    </row>
    <row r="2382" spans="1:3" x14ac:dyDescent="0.25">
      <c r="A2382" s="1" t="s">
        <v>69</v>
      </c>
      <c r="B2382" s="1">
        <v>64</v>
      </c>
      <c r="C2382" s="1">
        <v>1</v>
      </c>
    </row>
    <row r="2383" spans="1:3" x14ac:dyDescent="0.25">
      <c r="A2383" s="1" t="s">
        <v>33</v>
      </c>
      <c r="B2383" s="1">
        <v>80</v>
      </c>
      <c r="C2383" s="1">
        <v>2</v>
      </c>
    </row>
    <row r="2384" spans="1:3" x14ac:dyDescent="0.25">
      <c r="A2384" s="1" t="s">
        <v>169</v>
      </c>
      <c r="B2384" s="1"/>
      <c r="C2384" s="1"/>
    </row>
    <row r="2385" spans="1:3" x14ac:dyDescent="0.25">
      <c r="A2385" s="1" t="s">
        <v>1</v>
      </c>
      <c r="B2385" s="1">
        <v>46</v>
      </c>
      <c r="C2385" s="1"/>
    </row>
    <row r="2386" spans="1:3" x14ac:dyDescent="0.25">
      <c r="A2386" s="1" t="s">
        <v>2</v>
      </c>
      <c r="B2386" s="1">
        <v>1642.14</v>
      </c>
      <c r="C2386" s="1"/>
    </row>
    <row r="2387" spans="1:3" x14ac:dyDescent="0.25">
      <c r="A2387" s="1" t="s">
        <v>3</v>
      </c>
      <c r="B2387" s="1" t="s">
        <v>4</v>
      </c>
      <c r="C2387" s="1" t="s">
        <v>5</v>
      </c>
    </row>
    <row r="2388" spans="1:3" x14ac:dyDescent="0.25">
      <c r="A2388" s="1" t="s">
        <v>21</v>
      </c>
      <c r="B2388" s="1">
        <v>109.6</v>
      </c>
      <c r="C2388" s="1">
        <v>2</v>
      </c>
    </row>
    <row r="2389" spans="1:3" x14ac:dyDescent="0.25">
      <c r="A2389" s="1" t="s">
        <v>20</v>
      </c>
      <c r="B2389" s="1">
        <v>76.8</v>
      </c>
      <c r="C2389" s="1">
        <v>3</v>
      </c>
    </row>
    <row r="2390" spans="1:3" x14ac:dyDescent="0.25">
      <c r="A2390" s="1" t="s">
        <v>13</v>
      </c>
      <c r="B2390" s="1">
        <v>38.4</v>
      </c>
      <c r="C2390" s="1">
        <v>1</v>
      </c>
    </row>
    <row r="2391" spans="1:3" x14ac:dyDescent="0.25">
      <c r="A2391" s="1" t="s">
        <v>17</v>
      </c>
      <c r="B2391" s="1">
        <v>115.2</v>
      </c>
      <c r="C2391" s="1">
        <v>10</v>
      </c>
    </row>
    <row r="2392" spans="1:3" x14ac:dyDescent="0.25">
      <c r="A2392" s="1" t="s">
        <v>40</v>
      </c>
      <c r="B2392" s="1">
        <v>274</v>
      </c>
      <c r="C2392" s="1">
        <v>5</v>
      </c>
    </row>
    <row r="2393" spans="1:3" x14ac:dyDescent="0.25">
      <c r="A2393" s="1" t="s">
        <v>12</v>
      </c>
      <c r="B2393" s="1">
        <v>245</v>
      </c>
      <c r="C2393" s="1">
        <v>7</v>
      </c>
    </row>
    <row r="2394" spans="1:3" x14ac:dyDescent="0.25">
      <c r="A2394" s="1" t="s">
        <v>8</v>
      </c>
      <c r="B2394" s="1">
        <v>164.4</v>
      </c>
      <c r="C2394" s="1">
        <v>3</v>
      </c>
    </row>
    <row r="2395" spans="1:3" x14ac:dyDescent="0.25">
      <c r="A2395" s="1" t="s">
        <v>69</v>
      </c>
      <c r="B2395" s="1">
        <v>64</v>
      </c>
      <c r="C2395" s="1">
        <v>1</v>
      </c>
    </row>
    <row r="2396" spans="1:3" x14ac:dyDescent="0.25">
      <c r="A2396" s="1" t="s">
        <v>15</v>
      </c>
      <c r="B2396" s="1">
        <v>68</v>
      </c>
      <c r="C2396" s="1">
        <v>1</v>
      </c>
    </row>
    <row r="2397" spans="1:3" x14ac:dyDescent="0.25">
      <c r="A2397" s="1" t="s">
        <v>18</v>
      </c>
      <c r="B2397" s="1">
        <v>230.4</v>
      </c>
      <c r="C2397" s="1">
        <v>6</v>
      </c>
    </row>
    <row r="2398" spans="1:3" x14ac:dyDescent="0.25">
      <c r="A2398" s="1" t="s">
        <v>22</v>
      </c>
      <c r="B2398" s="1">
        <v>54.8</v>
      </c>
      <c r="C2398" s="1">
        <v>1</v>
      </c>
    </row>
    <row r="2399" spans="1:3" x14ac:dyDescent="0.25">
      <c r="A2399" s="1" t="s">
        <v>53</v>
      </c>
      <c r="B2399" s="1">
        <v>28.75</v>
      </c>
      <c r="C2399" s="1">
        <v>1</v>
      </c>
    </row>
    <row r="2400" spans="1:3" x14ac:dyDescent="0.25">
      <c r="A2400" s="1" t="s">
        <v>36</v>
      </c>
      <c r="B2400" s="1">
        <v>38.4</v>
      </c>
      <c r="C2400" s="1">
        <v>1</v>
      </c>
    </row>
    <row r="2401" spans="1:3" x14ac:dyDescent="0.25">
      <c r="A2401" s="1" t="s">
        <v>33</v>
      </c>
      <c r="B2401" s="1">
        <v>40</v>
      </c>
      <c r="C2401" s="1">
        <v>1</v>
      </c>
    </row>
    <row r="2402" spans="1:3" x14ac:dyDescent="0.25">
      <c r="A2402" s="1" t="s">
        <v>30</v>
      </c>
      <c r="B2402" s="1">
        <v>15.99</v>
      </c>
      <c r="C2402" s="1">
        <v>1</v>
      </c>
    </row>
    <row r="2403" spans="1:3" x14ac:dyDescent="0.25">
      <c r="A2403" s="1" t="s">
        <v>39</v>
      </c>
      <c r="B2403" s="1">
        <v>40</v>
      </c>
      <c r="C2403" s="1">
        <v>1</v>
      </c>
    </row>
    <row r="2404" spans="1:3" x14ac:dyDescent="0.25">
      <c r="A2404" s="1" t="s">
        <v>27</v>
      </c>
      <c r="B2404" s="1">
        <v>38.4</v>
      </c>
      <c r="C2404" s="1">
        <v>1</v>
      </c>
    </row>
    <row r="2405" spans="1:3" x14ac:dyDescent="0.25">
      <c r="A2405" s="1" t="s">
        <v>170</v>
      </c>
      <c r="B2405" s="1"/>
      <c r="C2405" s="1"/>
    </row>
    <row r="2406" spans="1:3" x14ac:dyDescent="0.25">
      <c r="A2406" s="1" t="s">
        <v>1</v>
      </c>
      <c r="B2406" s="1">
        <v>8</v>
      </c>
      <c r="C2406" s="1"/>
    </row>
    <row r="2407" spans="1:3" x14ac:dyDescent="0.25">
      <c r="A2407" s="1" t="s">
        <v>2</v>
      </c>
      <c r="B2407" s="1">
        <v>281.8</v>
      </c>
      <c r="C2407" s="1"/>
    </row>
    <row r="2408" spans="1:3" x14ac:dyDescent="0.25">
      <c r="A2408" s="1" t="s">
        <v>3</v>
      </c>
      <c r="B2408" s="1" t="s">
        <v>4</v>
      </c>
      <c r="C2408" s="1" t="s">
        <v>5</v>
      </c>
    </row>
    <row r="2409" spans="1:3" x14ac:dyDescent="0.25">
      <c r="A2409" s="1" t="s">
        <v>17</v>
      </c>
      <c r="B2409" s="1">
        <v>76.8</v>
      </c>
      <c r="C2409" s="1">
        <v>2</v>
      </c>
    </row>
    <row r="2410" spans="1:3" x14ac:dyDescent="0.25">
      <c r="A2410" s="1" t="s">
        <v>20</v>
      </c>
      <c r="B2410" s="1">
        <v>38.4</v>
      </c>
      <c r="C2410" s="1">
        <v>1</v>
      </c>
    </row>
    <row r="2411" spans="1:3" x14ac:dyDescent="0.25">
      <c r="A2411" s="1" t="s">
        <v>8</v>
      </c>
      <c r="B2411" s="1">
        <v>54.8</v>
      </c>
      <c r="C2411" s="1">
        <v>2</v>
      </c>
    </row>
    <row r="2412" spans="1:3" x14ac:dyDescent="0.25">
      <c r="A2412" s="1" t="s">
        <v>12</v>
      </c>
      <c r="B2412" s="1">
        <v>35</v>
      </c>
      <c r="C2412" s="1">
        <v>1</v>
      </c>
    </row>
    <row r="2413" spans="1:3" x14ac:dyDescent="0.25">
      <c r="A2413" s="1" t="s">
        <v>18</v>
      </c>
      <c r="B2413" s="1">
        <v>38.4</v>
      </c>
      <c r="C2413" s="1">
        <v>1</v>
      </c>
    </row>
    <row r="2414" spans="1:3" x14ac:dyDescent="0.25">
      <c r="A2414" s="1" t="s">
        <v>44</v>
      </c>
      <c r="B2414" s="1">
        <v>38.4</v>
      </c>
      <c r="C2414" s="1">
        <v>1</v>
      </c>
    </row>
    <row r="2415" spans="1:3" x14ac:dyDescent="0.25">
      <c r="A2415" s="1" t="s">
        <v>171</v>
      </c>
      <c r="B2415" s="1"/>
      <c r="C2415" s="1"/>
    </row>
    <row r="2416" spans="1:3" x14ac:dyDescent="0.25">
      <c r="A2416" s="1" t="s">
        <v>1</v>
      </c>
      <c r="B2416" s="1">
        <v>29</v>
      </c>
      <c r="C2416" s="1"/>
    </row>
    <row r="2417" spans="1:3" x14ac:dyDescent="0.25">
      <c r="A2417" s="1" t="s">
        <v>2</v>
      </c>
      <c r="B2417" s="1">
        <v>1007.5</v>
      </c>
      <c r="C2417" s="1"/>
    </row>
    <row r="2418" spans="1:3" x14ac:dyDescent="0.25">
      <c r="A2418" s="1" t="s">
        <v>3</v>
      </c>
      <c r="B2418" s="1" t="s">
        <v>4</v>
      </c>
      <c r="C2418" s="1" t="s">
        <v>5</v>
      </c>
    </row>
    <row r="2419" spans="1:3" x14ac:dyDescent="0.25">
      <c r="A2419" s="1" t="s">
        <v>20</v>
      </c>
      <c r="B2419" s="1">
        <v>115.2</v>
      </c>
      <c r="C2419" s="1">
        <v>3</v>
      </c>
    </row>
    <row r="2420" spans="1:3" x14ac:dyDescent="0.25">
      <c r="A2420" s="1" t="s">
        <v>28</v>
      </c>
      <c r="B2420" s="1">
        <v>38.4</v>
      </c>
      <c r="C2420" s="1">
        <v>1</v>
      </c>
    </row>
    <row r="2421" spans="1:3" x14ac:dyDescent="0.25">
      <c r="A2421" s="1" t="s">
        <v>49</v>
      </c>
      <c r="B2421" s="1">
        <v>400</v>
      </c>
      <c r="C2421" s="1">
        <v>14</v>
      </c>
    </row>
    <row r="2422" spans="1:3" x14ac:dyDescent="0.25">
      <c r="A2422" s="1" t="s">
        <v>62</v>
      </c>
      <c r="B2422" s="1">
        <v>38.4</v>
      </c>
      <c r="C2422" s="1">
        <v>1</v>
      </c>
    </row>
    <row r="2423" spans="1:3" x14ac:dyDescent="0.25">
      <c r="A2423" s="1" t="s">
        <v>53</v>
      </c>
      <c r="B2423" s="1">
        <v>28.75</v>
      </c>
      <c r="C2423" s="1">
        <v>1</v>
      </c>
    </row>
    <row r="2424" spans="1:3" x14ac:dyDescent="0.25">
      <c r="A2424" s="1" t="s">
        <v>33</v>
      </c>
      <c r="B2424" s="1">
        <v>40</v>
      </c>
      <c r="C2424" s="1">
        <v>1</v>
      </c>
    </row>
    <row r="2425" spans="1:3" x14ac:dyDescent="0.25">
      <c r="A2425" s="1" t="s">
        <v>21</v>
      </c>
      <c r="B2425" s="1">
        <v>54.8</v>
      </c>
      <c r="C2425" s="1">
        <v>1</v>
      </c>
    </row>
    <row r="2426" spans="1:3" x14ac:dyDescent="0.25">
      <c r="A2426" s="1" t="s">
        <v>22</v>
      </c>
      <c r="B2426" s="1">
        <v>54.8</v>
      </c>
      <c r="C2426" s="1">
        <v>1</v>
      </c>
    </row>
    <row r="2427" spans="1:3" x14ac:dyDescent="0.25">
      <c r="A2427" s="1" t="s">
        <v>54</v>
      </c>
      <c r="B2427" s="1">
        <v>38.4</v>
      </c>
      <c r="C2427" s="1">
        <v>1</v>
      </c>
    </row>
    <row r="2428" spans="1:3" x14ac:dyDescent="0.25">
      <c r="A2428" s="1" t="s">
        <v>13</v>
      </c>
      <c r="B2428" s="1">
        <v>38.4</v>
      </c>
      <c r="C2428" s="1">
        <v>1</v>
      </c>
    </row>
    <row r="2429" spans="1:3" x14ac:dyDescent="0.25">
      <c r="A2429" s="1" t="s">
        <v>18</v>
      </c>
      <c r="B2429" s="1">
        <v>38.4</v>
      </c>
      <c r="C2429" s="1">
        <v>1</v>
      </c>
    </row>
    <row r="2430" spans="1:3" x14ac:dyDescent="0.25">
      <c r="A2430" s="1" t="s">
        <v>17</v>
      </c>
      <c r="B2430" s="1">
        <v>38.4</v>
      </c>
      <c r="C2430" s="1">
        <v>1</v>
      </c>
    </row>
    <row r="2431" spans="1:3" x14ac:dyDescent="0.25">
      <c r="A2431" s="1" t="s">
        <v>8</v>
      </c>
      <c r="B2431" s="1">
        <v>54.8</v>
      </c>
      <c r="C2431" s="1">
        <v>1</v>
      </c>
    </row>
    <row r="2432" spans="1:3" x14ac:dyDescent="0.25">
      <c r="A2432" s="1" t="s">
        <v>45</v>
      </c>
      <c r="B2432" s="1">
        <v>28.75</v>
      </c>
      <c r="C2432" s="1">
        <v>1</v>
      </c>
    </row>
    <row r="2433" spans="1:3" x14ac:dyDescent="0.25">
      <c r="A2433" s="1" t="s">
        <v>172</v>
      </c>
      <c r="B2433" s="1"/>
      <c r="C2433" s="1"/>
    </row>
    <row r="2434" spans="1:3" x14ac:dyDescent="0.25">
      <c r="A2434" s="1" t="s">
        <v>1</v>
      </c>
      <c r="B2434" s="1">
        <v>55</v>
      </c>
      <c r="C2434" s="1"/>
    </row>
    <row r="2435" spans="1:3" x14ac:dyDescent="0.25">
      <c r="A2435" s="1" t="s">
        <v>2</v>
      </c>
      <c r="B2435" s="1">
        <v>2317.1999999999998</v>
      </c>
      <c r="C2435" s="1"/>
    </row>
    <row r="2436" spans="1:3" x14ac:dyDescent="0.25">
      <c r="A2436" s="1" t="s">
        <v>3</v>
      </c>
      <c r="B2436" s="1" t="s">
        <v>4</v>
      </c>
      <c r="C2436" s="1" t="s">
        <v>5</v>
      </c>
    </row>
    <row r="2437" spans="1:3" x14ac:dyDescent="0.25">
      <c r="A2437" s="1" t="s">
        <v>12</v>
      </c>
      <c r="B2437" s="1">
        <v>175</v>
      </c>
      <c r="C2437" s="1">
        <v>5</v>
      </c>
    </row>
    <row r="2438" spans="1:3" x14ac:dyDescent="0.25">
      <c r="A2438" s="1" t="s">
        <v>18</v>
      </c>
      <c r="B2438" s="1">
        <v>153.6</v>
      </c>
      <c r="C2438" s="1">
        <v>4</v>
      </c>
    </row>
    <row r="2439" spans="1:3" x14ac:dyDescent="0.25">
      <c r="A2439" s="1" t="s">
        <v>19</v>
      </c>
      <c r="B2439" s="1">
        <v>28.75</v>
      </c>
      <c r="C2439" s="1">
        <v>1</v>
      </c>
    </row>
    <row r="2440" spans="1:3" x14ac:dyDescent="0.25">
      <c r="A2440" s="1" t="s">
        <v>14</v>
      </c>
      <c r="B2440" s="1">
        <v>28.75</v>
      </c>
      <c r="C2440" s="1">
        <v>2</v>
      </c>
    </row>
    <row r="2441" spans="1:3" x14ac:dyDescent="0.25">
      <c r="A2441" s="1" t="s">
        <v>20</v>
      </c>
      <c r="B2441" s="1">
        <v>230.4</v>
      </c>
      <c r="C2441" s="1">
        <v>6</v>
      </c>
    </row>
    <row r="2442" spans="1:3" x14ac:dyDescent="0.25">
      <c r="A2442" s="1" t="s">
        <v>40</v>
      </c>
      <c r="B2442" s="1">
        <v>54.8</v>
      </c>
      <c r="C2442" s="1">
        <v>1</v>
      </c>
    </row>
    <row r="2443" spans="1:3" x14ac:dyDescent="0.25">
      <c r="A2443" s="1" t="s">
        <v>8</v>
      </c>
      <c r="B2443" s="1">
        <v>602.79999999999995</v>
      </c>
      <c r="C2443" s="1">
        <v>12</v>
      </c>
    </row>
    <row r="2444" spans="1:3" x14ac:dyDescent="0.25">
      <c r="A2444" s="1" t="s">
        <v>49</v>
      </c>
      <c r="B2444" s="1">
        <v>40</v>
      </c>
      <c r="C2444" s="1">
        <v>1</v>
      </c>
    </row>
    <row r="2445" spans="1:3" x14ac:dyDescent="0.25">
      <c r="A2445" s="1" t="s">
        <v>7</v>
      </c>
      <c r="B2445" s="1">
        <v>219.2</v>
      </c>
      <c r="C2445" s="1">
        <v>4</v>
      </c>
    </row>
    <row r="2446" spans="1:3" x14ac:dyDescent="0.25">
      <c r="A2446" s="1" t="s">
        <v>17</v>
      </c>
      <c r="B2446" s="1">
        <v>192</v>
      </c>
      <c r="C2446" s="1">
        <v>5</v>
      </c>
    </row>
    <row r="2447" spans="1:3" x14ac:dyDescent="0.25">
      <c r="A2447" s="1" t="s">
        <v>54</v>
      </c>
      <c r="B2447" s="1">
        <v>38.4</v>
      </c>
      <c r="C2447" s="1">
        <v>1</v>
      </c>
    </row>
    <row r="2448" spans="1:3" x14ac:dyDescent="0.25">
      <c r="A2448" s="1" t="s">
        <v>33</v>
      </c>
      <c r="B2448" s="1">
        <v>240</v>
      </c>
      <c r="C2448" s="1">
        <v>6</v>
      </c>
    </row>
    <row r="2449" spans="1:3" x14ac:dyDescent="0.25">
      <c r="A2449" s="1" t="s">
        <v>6</v>
      </c>
      <c r="B2449" s="1">
        <v>54.8</v>
      </c>
      <c r="C2449" s="1">
        <v>1</v>
      </c>
    </row>
    <row r="2450" spans="1:3" x14ac:dyDescent="0.25">
      <c r="A2450" s="1" t="s">
        <v>21</v>
      </c>
      <c r="B2450" s="1">
        <v>54.8</v>
      </c>
      <c r="C2450" s="1">
        <v>1</v>
      </c>
    </row>
    <row r="2451" spans="1:3" x14ac:dyDescent="0.25">
      <c r="A2451" s="1" t="s">
        <v>15</v>
      </c>
      <c r="B2451" s="1">
        <v>68</v>
      </c>
      <c r="C2451" s="1">
        <v>1</v>
      </c>
    </row>
    <row r="2452" spans="1:3" x14ac:dyDescent="0.25">
      <c r="A2452" s="1" t="s">
        <v>59</v>
      </c>
      <c r="B2452" s="1">
        <v>40</v>
      </c>
      <c r="C2452" s="1">
        <v>1</v>
      </c>
    </row>
    <row r="2453" spans="1:3" x14ac:dyDescent="0.25">
      <c r="A2453" s="1" t="s">
        <v>41</v>
      </c>
      <c r="B2453" s="1">
        <v>28.75</v>
      </c>
      <c r="C2453" s="1">
        <v>1</v>
      </c>
    </row>
    <row r="2454" spans="1:3" x14ac:dyDescent="0.25">
      <c r="A2454" s="1" t="s">
        <v>62</v>
      </c>
      <c r="B2454" s="1">
        <v>38.4</v>
      </c>
      <c r="C2454" s="1">
        <v>1</v>
      </c>
    </row>
    <row r="2455" spans="1:3" x14ac:dyDescent="0.25">
      <c r="A2455" s="1" t="s">
        <v>45</v>
      </c>
      <c r="B2455" s="1">
        <v>28.75</v>
      </c>
      <c r="C2455" s="1">
        <v>1</v>
      </c>
    </row>
    <row r="2456" spans="1:3" x14ac:dyDescent="0.25">
      <c r="A2456" s="1" t="s">
        <v>173</v>
      </c>
      <c r="B2456" s="1"/>
      <c r="C2456" s="1"/>
    </row>
    <row r="2457" spans="1:3" x14ac:dyDescent="0.25">
      <c r="A2457" s="1" t="s">
        <v>1</v>
      </c>
      <c r="B2457" s="1">
        <v>19</v>
      </c>
      <c r="C2457" s="1"/>
    </row>
    <row r="2458" spans="1:3" x14ac:dyDescent="0.25">
      <c r="A2458" s="1" t="s">
        <v>2</v>
      </c>
      <c r="B2458" s="1">
        <v>914.8</v>
      </c>
      <c r="C2458" s="1"/>
    </row>
    <row r="2459" spans="1:3" x14ac:dyDescent="0.25">
      <c r="A2459" s="1" t="s">
        <v>3</v>
      </c>
      <c r="B2459" s="1" t="s">
        <v>4</v>
      </c>
      <c r="C2459" s="1" t="s">
        <v>5</v>
      </c>
    </row>
    <row r="2460" spans="1:3" x14ac:dyDescent="0.25">
      <c r="A2460" s="1" t="s">
        <v>20</v>
      </c>
      <c r="B2460" s="1">
        <v>153.6</v>
      </c>
      <c r="C2460" s="1">
        <v>4</v>
      </c>
    </row>
    <row r="2461" spans="1:3" x14ac:dyDescent="0.25">
      <c r="A2461" s="1" t="s">
        <v>40</v>
      </c>
      <c r="B2461" s="1">
        <v>54.8</v>
      </c>
      <c r="C2461" s="1">
        <v>1</v>
      </c>
    </row>
    <row r="2462" spans="1:3" x14ac:dyDescent="0.25">
      <c r="A2462" s="1" t="s">
        <v>7</v>
      </c>
      <c r="B2462" s="1">
        <v>54.8</v>
      </c>
      <c r="C2462" s="1">
        <v>1</v>
      </c>
    </row>
    <row r="2463" spans="1:3" x14ac:dyDescent="0.25">
      <c r="A2463" s="1" t="s">
        <v>25</v>
      </c>
      <c r="B2463" s="1">
        <v>40</v>
      </c>
      <c r="C2463" s="1">
        <v>1</v>
      </c>
    </row>
    <row r="2464" spans="1:3" x14ac:dyDescent="0.25">
      <c r="A2464" s="1" t="s">
        <v>64</v>
      </c>
      <c r="B2464" s="1">
        <v>38.4</v>
      </c>
      <c r="C2464" s="1">
        <v>1</v>
      </c>
    </row>
    <row r="2465" spans="1:3" x14ac:dyDescent="0.25">
      <c r="A2465" s="1" t="s">
        <v>16</v>
      </c>
      <c r="B2465" s="1">
        <v>70.400000000000006</v>
      </c>
      <c r="C2465" s="1">
        <v>2</v>
      </c>
    </row>
    <row r="2466" spans="1:3" x14ac:dyDescent="0.25">
      <c r="A2466" s="1" t="s">
        <v>52</v>
      </c>
      <c r="B2466" s="1">
        <v>192</v>
      </c>
      <c r="C2466" s="1">
        <v>3</v>
      </c>
    </row>
    <row r="2467" spans="1:3" x14ac:dyDescent="0.25">
      <c r="A2467" s="1" t="s">
        <v>33</v>
      </c>
      <c r="B2467" s="1">
        <v>40</v>
      </c>
      <c r="C2467" s="1">
        <v>1</v>
      </c>
    </row>
    <row r="2468" spans="1:3" x14ac:dyDescent="0.25">
      <c r="A2468" s="1" t="s">
        <v>8</v>
      </c>
      <c r="B2468" s="1">
        <v>109.6</v>
      </c>
      <c r="C2468" s="1">
        <v>2</v>
      </c>
    </row>
    <row r="2469" spans="1:3" x14ac:dyDescent="0.25">
      <c r="A2469" s="1" t="s">
        <v>15</v>
      </c>
      <c r="B2469" s="1">
        <v>68</v>
      </c>
      <c r="C2469" s="1">
        <v>1</v>
      </c>
    </row>
    <row r="2470" spans="1:3" x14ac:dyDescent="0.25">
      <c r="A2470" s="1" t="s">
        <v>22</v>
      </c>
      <c r="B2470" s="1">
        <v>54.8</v>
      </c>
      <c r="C2470" s="1">
        <v>1</v>
      </c>
    </row>
    <row r="2471" spans="1:3" x14ac:dyDescent="0.25">
      <c r="A2471" s="1" t="s">
        <v>54</v>
      </c>
      <c r="B2471" s="1">
        <v>38.4</v>
      </c>
      <c r="C2471" s="1">
        <v>1</v>
      </c>
    </row>
    <row r="2472" spans="1:3" x14ac:dyDescent="0.25">
      <c r="A2472" s="1" t="s">
        <v>174</v>
      </c>
      <c r="B2472" s="1"/>
      <c r="C2472" s="1"/>
    </row>
    <row r="2473" spans="1:3" x14ac:dyDescent="0.25">
      <c r="A2473" s="1" t="s">
        <v>1</v>
      </c>
      <c r="B2473" s="1">
        <v>8</v>
      </c>
      <c r="C2473" s="1"/>
    </row>
    <row r="2474" spans="1:3" x14ac:dyDescent="0.25">
      <c r="A2474" s="1" t="s">
        <v>2</v>
      </c>
      <c r="B2474" s="1">
        <v>331.95</v>
      </c>
      <c r="C2474" s="1"/>
    </row>
    <row r="2475" spans="1:3" x14ac:dyDescent="0.25">
      <c r="A2475" s="1" t="s">
        <v>3</v>
      </c>
      <c r="B2475" s="1" t="s">
        <v>4</v>
      </c>
      <c r="C2475" s="1" t="s">
        <v>5</v>
      </c>
    </row>
    <row r="2476" spans="1:3" x14ac:dyDescent="0.25">
      <c r="A2476" s="1" t="s">
        <v>14</v>
      </c>
      <c r="B2476" s="1">
        <v>28.75</v>
      </c>
      <c r="C2476" s="1">
        <v>1</v>
      </c>
    </row>
    <row r="2477" spans="1:3" x14ac:dyDescent="0.25">
      <c r="A2477" s="1" t="s">
        <v>57</v>
      </c>
      <c r="B2477" s="1">
        <v>40</v>
      </c>
      <c r="C2477" s="1">
        <v>1</v>
      </c>
    </row>
    <row r="2478" spans="1:3" x14ac:dyDescent="0.25">
      <c r="A2478" s="1" t="s">
        <v>40</v>
      </c>
      <c r="B2478" s="1">
        <v>109.6</v>
      </c>
      <c r="C2478" s="1">
        <v>2</v>
      </c>
    </row>
    <row r="2479" spans="1:3" x14ac:dyDescent="0.25">
      <c r="A2479" s="1" t="s">
        <v>17</v>
      </c>
      <c r="B2479" s="1">
        <v>38.4</v>
      </c>
      <c r="C2479" s="1">
        <v>1</v>
      </c>
    </row>
    <row r="2480" spans="1:3" x14ac:dyDescent="0.25">
      <c r="A2480" s="1" t="s">
        <v>20</v>
      </c>
      <c r="B2480" s="1">
        <v>76.8</v>
      </c>
      <c r="C2480" s="1">
        <v>2</v>
      </c>
    </row>
    <row r="2481" spans="1:3" x14ac:dyDescent="0.25">
      <c r="A2481" s="1" t="s">
        <v>44</v>
      </c>
      <c r="B2481" s="1">
        <v>38.4</v>
      </c>
      <c r="C2481" s="1">
        <v>1</v>
      </c>
    </row>
    <row r="2482" spans="1:3" x14ac:dyDescent="0.25">
      <c r="A2482" s="1" t="s">
        <v>175</v>
      </c>
      <c r="B2482" s="1"/>
      <c r="C2482" s="1"/>
    </row>
    <row r="2483" spans="1:3" x14ac:dyDescent="0.25">
      <c r="A2483" s="1" t="s">
        <v>1</v>
      </c>
      <c r="B2483" s="1">
        <v>7</v>
      </c>
      <c r="C2483" s="1"/>
    </row>
    <row r="2484" spans="1:3" x14ac:dyDescent="0.25">
      <c r="A2484" s="1" t="s">
        <v>2</v>
      </c>
      <c r="B2484" s="1">
        <v>318</v>
      </c>
      <c r="C2484" s="1"/>
    </row>
    <row r="2485" spans="1:3" x14ac:dyDescent="0.25">
      <c r="A2485" s="1" t="s">
        <v>3</v>
      </c>
      <c r="B2485" s="1" t="s">
        <v>4</v>
      </c>
      <c r="C2485" s="1" t="s">
        <v>5</v>
      </c>
    </row>
    <row r="2486" spans="1:3" x14ac:dyDescent="0.25">
      <c r="A2486" s="1" t="s">
        <v>17</v>
      </c>
      <c r="B2486" s="1">
        <v>115.2</v>
      </c>
      <c r="C2486" s="1">
        <v>3</v>
      </c>
    </row>
    <row r="2487" spans="1:3" x14ac:dyDescent="0.25">
      <c r="A2487" s="1" t="s">
        <v>9</v>
      </c>
      <c r="B2487" s="1">
        <v>54.8</v>
      </c>
      <c r="C2487" s="1">
        <v>1</v>
      </c>
    </row>
    <row r="2488" spans="1:3" x14ac:dyDescent="0.25">
      <c r="A2488" s="1" t="s">
        <v>22</v>
      </c>
      <c r="B2488" s="1">
        <v>54.8</v>
      </c>
      <c r="C2488" s="1">
        <v>1</v>
      </c>
    </row>
    <row r="2489" spans="1:3" x14ac:dyDescent="0.25">
      <c r="A2489" s="1" t="s">
        <v>18</v>
      </c>
      <c r="B2489" s="1">
        <v>38.4</v>
      </c>
      <c r="C2489" s="1">
        <v>1</v>
      </c>
    </row>
    <row r="2490" spans="1:3" x14ac:dyDescent="0.25">
      <c r="A2490" s="1" t="s">
        <v>40</v>
      </c>
      <c r="B2490" s="1">
        <v>54.8</v>
      </c>
      <c r="C2490" s="1">
        <v>1</v>
      </c>
    </row>
    <row r="2491" spans="1:3" x14ac:dyDescent="0.25">
      <c r="A2491" s="1" t="s">
        <v>176</v>
      </c>
      <c r="B2491" s="1"/>
      <c r="C2491" s="1"/>
    </row>
    <row r="2492" spans="1:3" x14ac:dyDescent="0.25">
      <c r="A2492" s="1" t="s">
        <v>1</v>
      </c>
      <c r="B2492" s="1">
        <v>55</v>
      </c>
      <c r="C2492" s="1"/>
    </row>
    <row r="2493" spans="1:3" x14ac:dyDescent="0.25">
      <c r="A2493" s="1" t="s">
        <v>2</v>
      </c>
      <c r="B2493" s="1">
        <v>2157.29</v>
      </c>
      <c r="C2493" s="1"/>
    </row>
    <row r="2494" spans="1:3" x14ac:dyDescent="0.25">
      <c r="A2494" s="1" t="s">
        <v>3</v>
      </c>
      <c r="B2494" s="1" t="s">
        <v>4</v>
      </c>
      <c r="C2494" s="1" t="s">
        <v>5</v>
      </c>
    </row>
    <row r="2495" spans="1:3" x14ac:dyDescent="0.25">
      <c r="A2495" s="1" t="s">
        <v>12</v>
      </c>
      <c r="B2495" s="1">
        <v>175</v>
      </c>
      <c r="C2495" s="1">
        <v>5</v>
      </c>
    </row>
    <row r="2496" spans="1:3" x14ac:dyDescent="0.25">
      <c r="A2496" s="1" t="s">
        <v>8</v>
      </c>
      <c r="B2496" s="1">
        <v>438.4</v>
      </c>
      <c r="C2496" s="1">
        <v>10</v>
      </c>
    </row>
    <row r="2497" spans="1:3" x14ac:dyDescent="0.25">
      <c r="A2497" s="1" t="s">
        <v>10</v>
      </c>
      <c r="B2497" s="1">
        <v>76.8</v>
      </c>
      <c r="C2497" s="1">
        <v>2</v>
      </c>
    </row>
    <row r="2498" spans="1:3" x14ac:dyDescent="0.25">
      <c r="A2498" s="1" t="s">
        <v>20</v>
      </c>
      <c r="B2498" s="1">
        <v>268.8</v>
      </c>
      <c r="C2498" s="1">
        <v>8</v>
      </c>
    </row>
    <row r="2499" spans="1:3" x14ac:dyDescent="0.25">
      <c r="A2499" s="1" t="s">
        <v>21</v>
      </c>
      <c r="B2499" s="1">
        <v>164.4</v>
      </c>
      <c r="C2499" s="1">
        <v>3</v>
      </c>
    </row>
    <row r="2500" spans="1:3" x14ac:dyDescent="0.25">
      <c r="A2500" s="1" t="s">
        <v>14</v>
      </c>
      <c r="B2500" s="1">
        <v>28.75</v>
      </c>
      <c r="C2500" s="1">
        <v>1</v>
      </c>
    </row>
    <row r="2501" spans="1:3" x14ac:dyDescent="0.25">
      <c r="A2501" s="1" t="s">
        <v>54</v>
      </c>
      <c r="B2501" s="1">
        <v>115.2</v>
      </c>
      <c r="C2501" s="1">
        <v>3</v>
      </c>
    </row>
    <row r="2502" spans="1:3" x14ac:dyDescent="0.25">
      <c r="A2502" s="1" t="s">
        <v>51</v>
      </c>
      <c r="B2502" s="1">
        <v>38.4</v>
      </c>
      <c r="C2502" s="1">
        <v>1</v>
      </c>
    </row>
    <row r="2503" spans="1:3" x14ac:dyDescent="0.25">
      <c r="A2503" s="1" t="s">
        <v>30</v>
      </c>
      <c r="B2503" s="1">
        <v>15.99</v>
      </c>
      <c r="C2503" s="1">
        <v>1</v>
      </c>
    </row>
    <row r="2504" spans="1:3" x14ac:dyDescent="0.25">
      <c r="A2504" s="1" t="s">
        <v>16</v>
      </c>
      <c r="B2504" s="1">
        <v>70.400000000000006</v>
      </c>
      <c r="C2504" s="1">
        <v>2</v>
      </c>
    </row>
    <row r="2505" spans="1:3" x14ac:dyDescent="0.25">
      <c r="A2505" s="1" t="s">
        <v>18</v>
      </c>
      <c r="B2505" s="1">
        <v>307.2</v>
      </c>
      <c r="C2505" s="1">
        <v>9</v>
      </c>
    </row>
    <row r="2506" spans="1:3" x14ac:dyDescent="0.25">
      <c r="A2506" s="1" t="s">
        <v>6</v>
      </c>
      <c r="B2506" s="1">
        <v>54.8</v>
      </c>
      <c r="C2506" s="1">
        <v>1</v>
      </c>
    </row>
    <row r="2507" spans="1:3" x14ac:dyDescent="0.25">
      <c r="A2507" s="1" t="s">
        <v>40</v>
      </c>
      <c r="B2507" s="1">
        <v>164.4</v>
      </c>
      <c r="C2507" s="1">
        <v>3</v>
      </c>
    </row>
    <row r="2508" spans="1:3" x14ac:dyDescent="0.25">
      <c r="A2508" s="1" t="s">
        <v>49</v>
      </c>
      <c r="B2508" s="1">
        <v>40</v>
      </c>
      <c r="C2508" s="1">
        <v>1</v>
      </c>
    </row>
    <row r="2509" spans="1:3" x14ac:dyDescent="0.25">
      <c r="A2509" s="1" t="s">
        <v>62</v>
      </c>
      <c r="B2509" s="1">
        <v>76.8</v>
      </c>
      <c r="C2509" s="1">
        <v>2</v>
      </c>
    </row>
    <row r="2510" spans="1:3" x14ac:dyDescent="0.25">
      <c r="A2510" s="1" t="s">
        <v>44</v>
      </c>
      <c r="B2510" s="1">
        <v>38.4</v>
      </c>
      <c r="C2510" s="1">
        <v>1</v>
      </c>
    </row>
    <row r="2511" spans="1:3" x14ac:dyDescent="0.25">
      <c r="A2511" s="1" t="s">
        <v>22</v>
      </c>
      <c r="B2511" s="1">
        <v>54.8</v>
      </c>
      <c r="C2511" s="1">
        <v>1</v>
      </c>
    </row>
    <row r="2512" spans="1:3" x14ac:dyDescent="0.25">
      <c r="A2512" s="1" t="s">
        <v>41</v>
      </c>
      <c r="B2512" s="1">
        <v>28.75</v>
      </c>
      <c r="C2512" s="1">
        <v>1</v>
      </c>
    </row>
    <row r="2513" spans="1:3" x14ac:dyDescent="0.25">
      <c r="A2513" s="1" t="s">
        <v>177</v>
      </c>
      <c r="B2513" s="1"/>
      <c r="C2513" s="1"/>
    </row>
    <row r="2514" spans="1:3" x14ac:dyDescent="0.25">
      <c r="A2514" s="1" t="s">
        <v>1</v>
      </c>
      <c r="B2514" s="1">
        <v>24</v>
      </c>
      <c r="C2514" s="1"/>
    </row>
    <row r="2515" spans="1:3" x14ac:dyDescent="0.25">
      <c r="A2515" s="1" t="s">
        <v>2</v>
      </c>
      <c r="B2515" s="1">
        <v>1032.8</v>
      </c>
      <c r="C2515" s="1"/>
    </row>
    <row r="2516" spans="1:3" x14ac:dyDescent="0.25">
      <c r="A2516" s="1" t="s">
        <v>3</v>
      </c>
      <c r="B2516" s="1" t="s">
        <v>4</v>
      </c>
      <c r="C2516" s="1" t="s">
        <v>5</v>
      </c>
    </row>
    <row r="2517" spans="1:3" x14ac:dyDescent="0.25">
      <c r="A2517" s="1" t="s">
        <v>20</v>
      </c>
      <c r="B2517" s="1">
        <v>115.2</v>
      </c>
      <c r="C2517" s="1">
        <v>3</v>
      </c>
    </row>
    <row r="2518" spans="1:3" x14ac:dyDescent="0.25">
      <c r="A2518" s="1" t="s">
        <v>40</v>
      </c>
      <c r="B2518" s="1">
        <v>164.4</v>
      </c>
      <c r="C2518" s="1">
        <v>3</v>
      </c>
    </row>
    <row r="2519" spans="1:3" x14ac:dyDescent="0.25">
      <c r="A2519" s="1" t="s">
        <v>8</v>
      </c>
      <c r="B2519" s="1">
        <v>219.2</v>
      </c>
      <c r="C2519" s="1">
        <v>5</v>
      </c>
    </row>
    <row r="2520" spans="1:3" x14ac:dyDescent="0.25">
      <c r="A2520" s="1" t="s">
        <v>12</v>
      </c>
      <c r="B2520" s="1">
        <v>210</v>
      </c>
      <c r="C2520" s="1">
        <v>6</v>
      </c>
    </row>
    <row r="2521" spans="1:3" x14ac:dyDescent="0.25">
      <c r="A2521" s="1" t="s">
        <v>15</v>
      </c>
      <c r="B2521" s="1">
        <v>68</v>
      </c>
      <c r="C2521" s="1">
        <v>1</v>
      </c>
    </row>
    <row r="2522" spans="1:3" x14ac:dyDescent="0.25">
      <c r="A2522" s="1" t="s">
        <v>51</v>
      </c>
      <c r="B2522" s="1">
        <v>38.4</v>
      </c>
      <c r="C2522" s="1">
        <v>1</v>
      </c>
    </row>
    <row r="2523" spans="1:3" x14ac:dyDescent="0.25">
      <c r="A2523" s="1" t="s">
        <v>54</v>
      </c>
      <c r="B2523" s="1">
        <v>115.2</v>
      </c>
      <c r="C2523" s="1">
        <v>3</v>
      </c>
    </row>
    <row r="2524" spans="1:3" x14ac:dyDescent="0.25">
      <c r="A2524" s="1" t="s">
        <v>18</v>
      </c>
      <c r="B2524" s="1">
        <v>38.4</v>
      </c>
      <c r="C2524" s="1">
        <v>1</v>
      </c>
    </row>
    <row r="2525" spans="1:3" x14ac:dyDescent="0.25">
      <c r="A2525" s="1" t="s">
        <v>52</v>
      </c>
      <c r="B2525" s="1">
        <v>64</v>
      </c>
      <c r="C2525" s="1">
        <v>1</v>
      </c>
    </row>
    <row r="2526" spans="1:3" x14ac:dyDescent="0.25">
      <c r="A2526" s="1" t="s">
        <v>178</v>
      </c>
      <c r="B2526" s="1"/>
      <c r="C2526" s="1"/>
    </row>
    <row r="2527" spans="1:3" x14ac:dyDescent="0.25">
      <c r="A2527" s="1" t="s">
        <v>1</v>
      </c>
      <c r="B2527" s="1">
        <v>35</v>
      </c>
      <c r="C2527" s="1"/>
    </row>
    <row r="2528" spans="1:3" x14ac:dyDescent="0.25">
      <c r="A2528" s="1" t="s">
        <v>2</v>
      </c>
      <c r="B2528" s="1">
        <v>1580.75</v>
      </c>
      <c r="C2528" s="1"/>
    </row>
    <row r="2529" spans="1:3" x14ac:dyDescent="0.25">
      <c r="A2529" s="1" t="s">
        <v>3</v>
      </c>
      <c r="B2529" s="1" t="s">
        <v>4</v>
      </c>
      <c r="C2529" s="1" t="s">
        <v>5</v>
      </c>
    </row>
    <row r="2530" spans="1:3" x14ac:dyDescent="0.25">
      <c r="A2530" s="1" t="s">
        <v>12</v>
      </c>
      <c r="B2530" s="1">
        <v>175</v>
      </c>
      <c r="C2530" s="1">
        <v>6</v>
      </c>
    </row>
    <row r="2531" spans="1:3" x14ac:dyDescent="0.25">
      <c r="A2531" s="1" t="s">
        <v>15</v>
      </c>
      <c r="B2531" s="1">
        <v>204</v>
      </c>
      <c r="C2531" s="1">
        <v>3</v>
      </c>
    </row>
    <row r="2532" spans="1:3" x14ac:dyDescent="0.25">
      <c r="A2532" s="1" t="s">
        <v>16</v>
      </c>
      <c r="B2532" s="1">
        <v>35.200000000000003</v>
      </c>
      <c r="C2532" s="1">
        <v>1</v>
      </c>
    </row>
    <row r="2533" spans="1:3" x14ac:dyDescent="0.25">
      <c r="A2533" s="1" t="s">
        <v>13</v>
      </c>
      <c r="B2533" s="1">
        <v>76.8</v>
      </c>
      <c r="C2533" s="1">
        <v>2</v>
      </c>
    </row>
    <row r="2534" spans="1:3" x14ac:dyDescent="0.25">
      <c r="A2534" s="1" t="s">
        <v>49</v>
      </c>
      <c r="B2534" s="1">
        <v>80</v>
      </c>
      <c r="C2534" s="1">
        <v>2</v>
      </c>
    </row>
    <row r="2535" spans="1:3" x14ac:dyDescent="0.25">
      <c r="A2535" s="1" t="s">
        <v>8</v>
      </c>
      <c r="B2535" s="1">
        <v>109.6</v>
      </c>
      <c r="C2535" s="1">
        <v>2</v>
      </c>
    </row>
    <row r="2536" spans="1:3" x14ac:dyDescent="0.25">
      <c r="A2536" s="1" t="s">
        <v>54</v>
      </c>
      <c r="B2536" s="1">
        <v>76.8</v>
      </c>
      <c r="C2536" s="1">
        <v>2</v>
      </c>
    </row>
    <row r="2537" spans="1:3" x14ac:dyDescent="0.25">
      <c r="A2537" s="1" t="s">
        <v>21</v>
      </c>
      <c r="B2537" s="1">
        <v>493.2</v>
      </c>
      <c r="C2537" s="1">
        <v>9</v>
      </c>
    </row>
    <row r="2538" spans="1:3" x14ac:dyDescent="0.25">
      <c r="A2538" s="1" t="s">
        <v>30</v>
      </c>
      <c r="B2538" s="1">
        <v>15.99</v>
      </c>
      <c r="C2538" s="1">
        <v>1</v>
      </c>
    </row>
    <row r="2539" spans="1:3" x14ac:dyDescent="0.25">
      <c r="A2539" s="1" t="s">
        <v>36</v>
      </c>
      <c r="B2539" s="1">
        <v>34.56</v>
      </c>
      <c r="C2539" s="1">
        <v>1</v>
      </c>
    </row>
    <row r="2540" spans="1:3" x14ac:dyDescent="0.25">
      <c r="A2540" s="1" t="s">
        <v>7</v>
      </c>
      <c r="B2540" s="1">
        <v>54.8</v>
      </c>
      <c r="C2540" s="1">
        <v>1</v>
      </c>
    </row>
    <row r="2541" spans="1:3" x14ac:dyDescent="0.25">
      <c r="A2541" s="1" t="s">
        <v>40</v>
      </c>
      <c r="B2541" s="1">
        <v>109.6</v>
      </c>
      <c r="C2541" s="1">
        <v>2</v>
      </c>
    </row>
    <row r="2542" spans="1:3" x14ac:dyDescent="0.25">
      <c r="A2542" s="1" t="s">
        <v>17</v>
      </c>
      <c r="B2542" s="1">
        <v>38.4</v>
      </c>
      <c r="C2542" s="1">
        <v>1</v>
      </c>
    </row>
    <row r="2543" spans="1:3" x14ac:dyDescent="0.25">
      <c r="A2543" s="1" t="s">
        <v>55</v>
      </c>
      <c r="B2543" s="1">
        <v>38.4</v>
      </c>
      <c r="C2543" s="1">
        <v>1</v>
      </c>
    </row>
    <row r="2544" spans="1:3" x14ac:dyDescent="0.25">
      <c r="A2544" s="1" t="s">
        <v>62</v>
      </c>
      <c r="B2544" s="1">
        <v>38.4</v>
      </c>
      <c r="C2544" s="1">
        <v>1</v>
      </c>
    </row>
    <row r="2545" spans="1:3" x14ac:dyDescent="0.25">
      <c r="A2545" s="1" t="s">
        <v>179</v>
      </c>
      <c r="B2545" s="1"/>
      <c r="C2545" s="1"/>
    </row>
    <row r="2546" spans="1:3" x14ac:dyDescent="0.25">
      <c r="A2546" s="1" t="s">
        <v>1</v>
      </c>
      <c r="B2546" s="1">
        <v>13</v>
      </c>
      <c r="C2546" s="1"/>
    </row>
    <row r="2547" spans="1:3" x14ac:dyDescent="0.25">
      <c r="A2547" s="1" t="s">
        <v>2</v>
      </c>
      <c r="B2547" s="1">
        <v>570.39</v>
      </c>
      <c r="C2547" s="1"/>
    </row>
    <row r="2548" spans="1:3" x14ac:dyDescent="0.25">
      <c r="A2548" s="1" t="s">
        <v>3</v>
      </c>
      <c r="B2548" s="1" t="s">
        <v>4</v>
      </c>
      <c r="C2548" s="1" t="s">
        <v>5</v>
      </c>
    </row>
    <row r="2549" spans="1:3" x14ac:dyDescent="0.25">
      <c r="A2549" s="1" t="s">
        <v>20</v>
      </c>
      <c r="B2549" s="1">
        <v>115.2</v>
      </c>
      <c r="C2549" s="1">
        <v>3</v>
      </c>
    </row>
    <row r="2550" spans="1:3" x14ac:dyDescent="0.25">
      <c r="A2550" s="1" t="s">
        <v>15</v>
      </c>
      <c r="B2550" s="1">
        <v>68</v>
      </c>
      <c r="C2550" s="1">
        <v>1</v>
      </c>
    </row>
    <row r="2551" spans="1:3" x14ac:dyDescent="0.25">
      <c r="A2551" s="1" t="s">
        <v>21</v>
      </c>
      <c r="B2551" s="1">
        <v>109.6</v>
      </c>
      <c r="C2551" s="1">
        <v>2</v>
      </c>
    </row>
    <row r="2552" spans="1:3" x14ac:dyDescent="0.25">
      <c r="A2552" s="1" t="s">
        <v>8</v>
      </c>
      <c r="B2552" s="1">
        <v>109.6</v>
      </c>
      <c r="C2552" s="1">
        <v>2</v>
      </c>
    </row>
    <row r="2553" spans="1:3" x14ac:dyDescent="0.25">
      <c r="A2553" s="1" t="s">
        <v>57</v>
      </c>
      <c r="B2553" s="1">
        <v>40</v>
      </c>
      <c r="C2553" s="1">
        <v>1</v>
      </c>
    </row>
    <row r="2554" spans="1:3" x14ac:dyDescent="0.25">
      <c r="A2554" s="1" t="s">
        <v>54</v>
      </c>
      <c r="B2554" s="1">
        <v>38.4</v>
      </c>
      <c r="C2554" s="1">
        <v>1</v>
      </c>
    </row>
    <row r="2555" spans="1:3" x14ac:dyDescent="0.25">
      <c r="A2555" s="1" t="s">
        <v>30</v>
      </c>
      <c r="B2555" s="1">
        <v>15.99</v>
      </c>
      <c r="C2555" s="1">
        <v>1</v>
      </c>
    </row>
    <row r="2556" spans="1:3" x14ac:dyDescent="0.25">
      <c r="A2556" s="1" t="s">
        <v>56</v>
      </c>
      <c r="B2556" s="1">
        <v>38.4</v>
      </c>
      <c r="C2556" s="1">
        <v>1</v>
      </c>
    </row>
    <row r="2557" spans="1:3" x14ac:dyDescent="0.25">
      <c r="A2557" s="1" t="s">
        <v>16</v>
      </c>
      <c r="B2557" s="1">
        <v>35.200000000000003</v>
      </c>
      <c r="C2557" s="1">
        <v>1</v>
      </c>
    </row>
    <row r="2558" spans="1:3" x14ac:dyDescent="0.25">
      <c r="A2558" s="1" t="s">
        <v>180</v>
      </c>
      <c r="B2558" s="1"/>
      <c r="C2558" s="1"/>
    </row>
    <row r="2559" spans="1:3" x14ac:dyDescent="0.25">
      <c r="A2559" s="1" t="s">
        <v>1</v>
      </c>
      <c r="B2559" s="1">
        <v>31</v>
      </c>
      <c r="C2559" s="1"/>
    </row>
    <row r="2560" spans="1:3" x14ac:dyDescent="0.25">
      <c r="A2560" s="1" t="s">
        <v>2</v>
      </c>
      <c r="B2560" s="1">
        <v>1206.95</v>
      </c>
      <c r="C2560" s="1"/>
    </row>
    <row r="2561" spans="1:3" x14ac:dyDescent="0.25">
      <c r="A2561" s="1" t="s">
        <v>3</v>
      </c>
      <c r="B2561" s="1" t="s">
        <v>4</v>
      </c>
      <c r="C2561" s="1" t="s">
        <v>5</v>
      </c>
    </row>
    <row r="2562" spans="1:3" x14ac:dyDescent="0.25">
      <c r="A2562" s="1" t="s">
        <v>21</v>
      </c>
      <c r="B2562" s="1">
        <v>109.6</v>
      </c>
      <c r="C2562" s="1">
        <v>2</v>
      </c>
    </row>
    <row r="2563" spans="1:3" x14ac:dyDescent="0.25">
      <c r="A2563" s="1" t="s">
        <v>50</v>
      </c>
      <c r="B2563" s="1">
        <v>42.5</v>
      </c>
      <c r="C2563" s="1">
        <v>1</v>
      </c>
    </row>
    <row r="2564" spans="1:3" x14ac:dyDescent="0.25">
      <c r="A2564" s="1" t="s">
        <v>8</v>
      </c>
      <c r="B2564" s="1">
        <v>548</v>
      </c>
      <c r="C2564" s="1">
        <v>14</v>
      </c>
    </row>
    <row r="2565" spans="1:3" x14ac:dyDescent="0.25">
      <c r="A2565" s="1" t="s">
        <v>20</v>
      </c>
      <c r="B2565" s="1">
        <v>38.4</v>
      </c>
      <c r="C2565" s="1">
        <v>1</v>
      </c>
    </row>
    <row r="2566" spans="1:3" x14ac:dyDescent="0.25">
      <c r="A2566" s="1" t="s">
        <v>17</v>
      </c>
      <c r="B2566" s="1">
        <v>76.8</v>
      </c>
      <c r="C2566" s="1">
        <v>2</v>
      </c>
    </row>
    <row r="2567" spans="1:3" x14ac:dyDescent="0.25">
      <c r="A2567" s="1" t="s">
        <v>53</v>
      </c>
      <c r="B2567" s="1">
        <v>28.75</v>
      </c>
      <c r="C2567" s="1">
        <v>1</v>
      </c>
    </row>
    <row r="2568" spans="1:3" x14ac:dyDescent="0.25">
      <c r="A2568" s="1" t="s">
        <v>16</v>
      </c>
      <c r="B2568" s="1">
        <v>105.6</v>
      </c>
      <c r="C2568" s="1">
        <v>3</v>
      </c>
    </row>
    <row r="2569" spans="1:3" x14ac:dyDescent="0.25">
      <c r="A2569" s="1" t="s">
        <v>49</v>
      </c>
      <c r="B2569" s="1">
        <v>40</v>
      </c>
      <c r="C2569" s="1">
        <v>1</v>
      </c>
    </row>
    <row r="2570" spans="1:3" x14ac:dyDescent="0.25">
      <c r="A2570" s="1" t="s">
        <v>12</v>
      </c>
      <c r="B2570" s="1">
        <v>105</v>
      </c>
      <c r="C2570" s="1">
        <v>3</v>
      </c>
    </row>
    <row r="2571" spans="1:3" x14ac:dyDescent="0.25">
      <c r="A2571" s="1" t="s">
        <v>19</v>
      </c>
      <c r="B2571" s="1">
        <v>28.75</v>
      </c>
      <c r="C2571" s="1">
        <v>1</v>
      </c>
    </row>
    <row r="2572" spans="1:3" x14ac:dyDescent="0.25">
      <c r="A2572" s="1" t="s">
        <v>7</v>
      </c>
      <c r="B2572" s="1">
        <v>54.8</v>
      </c>
      <c r="C2572" s="1">
        <v>1</v>
      </c>
    </row>
    <row r="2573" spans="1:3" x14ac:dyDescent="0.25">
      <c r="A2573" s="1" t="s">
        <v>41</v>
      </c>
      <c r="B2573" s="1">
        <v>28.75</v>
      </c>
      <c r="C2573" s="1">
        <v>1</v>
      </c>
    </row>
    <row r="2574" spans="1:3" x14ac:dyDescent="0.25">
      <c r="A2574" s="1" t="s">
        <v>181</v>
      </c>
      <c r="B2574" s="1"/>
      <c r="C2574" s="1"/>
    </row>
    <row r="2575" spans="1:3" x14ac:dyDescent="0.25">
      <c r="A2575" s="1" t="s">
        <v>1</v>
      </c>
      <c r="B2575" s="1">
        <v>13</v>
      </c>
      <c r="C2575" s="1"/>
    </row>
    <row r="2576" spans="1:3" x14ac:dyDescent="0.25">
      <c r="A2576" s="1" t="s">
        <v>2</v>
      </c>
      <c r="B2576" s="1">
        <v>535.29999999999995</v>
      </c>
      <c r="C2576" s="1"/>
    </row>
    <row r="2577" spans="1:3" x14ac:dyDescent="0.25">
      <c r="A2577" s="1" t="s">
        <v>3</v>
      </c>
      <c r="B2577" s="1" t="s">
        <v>4</v>
      </c>
      <c r="C2577" s="1" t="s">
        <v>5</v>
      </c>
    </row>
    <row r="2578" spans="1:3" x14ac:dyDescent="0.25">
      <c r="A2578" s="1" t="s">
        <v>17</v>
      </c>
      <c r="B2578" s="1">
        <v>76.8</v>
      </c>
      <c r="C2578" s="1">
        <v>2</v>
      </c>
    </row>
    <row r="2579" spans="1:3" x14ac:dyDescent="0.25">
      <c r="A2579" s="1" t="s">
        <v>10</v>
      </c>
      <c r="B2579" s="1">
        <v>38.4</v>
      </c>
      <c r="C2579" s="1">
        <v>1</v>
      </c>
    </row>
    <row r="2580" spans="1:3" x14ac:dyDescent="0.25">
      <c r="A2580" s="1" t="s">
        <v>12</v>
      </c>
      <c r="B2580" s="1">
        <v>105</v>
      </c>
      <c r="C2580" s="1">
        <v>3</v>
      </c>
    </row>
    <row r="2581" spans="1:3" x14ac:dyDescent="0.25">
      <c r="A2581" s="1" t="s">
        <v>7</v>
      </c>
      <c r="B2581" s="1">
        <v>54.8</v>
      </c>
      <c r="C2581" s="1">
        <v>1</v>
      </c>
    </row>
    <row r="2582" spans="1:3" x14ac:dyDescent="0.25">
      <c r="A2582" s="1" t="s">
        <v>41</v>
      </c>
      <c r="B2582" s="1">
        <v>28.75</v>
      </c>
      <c r="C2582" s="1">
        <v>1</v>
      </c>
    </row>
    <row r="2583" spans="1:3" x14ac:dyDescent="0.25">
      <c r="A2583" s="1" t="s">
        <v>19</v>
      </c>
      <c r="B2583" s="1">
        <v>28.75</v>
      </c>
      <c r="C2583" s="1">
        <v>1</v>
      </c>
    </row>
    <row r="2584" spans="1:3" x14ac:dyDescent="0.25">
      <c r="A2584" s="1" t="s">
        <v>8</v>
      </c>
      <c r="B2584" s="1">
        <v>164.4</v>
      </c>
      <c r="C2584" s="1">
        <v>3</v>
      </c>
    </row>
    <row r="2585" spans="1:3" x14ac:dyDescent="0.25">
      <c r="A2585" s="1" t="s">
        <v>20</v>
      </c>
      <c r="B2585" s="1">
        <v>38.4</v>
      </c>
      <c r="C2585" s="1">
        <v>1</v>
      </c>
    </row>
    <row r="2586" spans="1:3" x14ac:dyDescent="0.25">
      <c r="A2586" s="1" t="s">
        <v>182</v>
      </c>
      <c r="B2586" s="1"/>
      <c r="C2586" s="1"/>
    </row>
    <row r="2587" spans="1:3" x14ac:dyDescent="0.25">
      <c r="A2587" s="1" t="s">
        <v>1</v>
      </c>
      <c r="B2587" s="1">
        <v>29</v>
      </c>
      <c r="C2587" s="1"/>
    </row>
    <row r="2588" spans="1:3" x14ac:dyDescent="0.25">
      <c r="A2588" s="1" t="s">
        <v>2</v>
      </c>
      <c r="B2588" s="1">
        <v>1190.3</v>
      </c>
      <c r="C2588" s="1"/>
    </row>
    <row r="2589" spans="1:3" x14ac:dyDescent="0.25">
      <c r="A2589" s="1" t="s">
        <v>3</v>
      </c>
      <c r="B2589" s="1" t="s">
        <v>4</v>
      </c>
      <c r="C2589" s="1" t="s">
        <v>5</v>
      </c>
    </row>
    <row r="2590" spans="1:3" x14ac:dyDescent="0.25">
      <c r="A2590" s="1" t="s">
        <v>21</v>
      </c>
      <c r="B2590" s="1">
        <v>54.8</v>
      </c>
      <c r="C2590" s="1">
        <v>1</v>
      </c>
    </row>
    <row r="2591" spans="1:3" x14ac:dyDescent="0.25">
      <c r="A2591" s="1" t="s">
        <v>14</v>
      </c>
      <c r="B2591" s="1">
        <v>28.75</v>
      </c>
      <c r="C2591" s="1">
        <v>1</v>
      </c>
    </row>
    <row r="2592" spans="1:3" x14ac:dyDescent="0.25">
      <c r="A2592" s="1" t="s">
        <v>16</v>
      </c>
      <c r="B2592" s="1">
        <v>35.200000000000003</v>
      </c>
      <c r="C2592" s="1">
        <v>1</v>
      </c>
    </row>
    <row r="2593" spans="1:3" x14ac:dyDescent="0.25">
      <c r="A2593" s="1" t="s">
        <v>8</v>
      </c>
      <c r="B2593" s="1">
        <v>164.4</v>
      </c>
      <c r="C2593" s="1">
        <v>3</v>
      </c>
    </row>
    <row r="2594" spans="1:3" x14ac:dyDescent="0.25">
      <c r="A2594" s="1" t="s">
        <v>20</v>
      </c>
      <c r="B2594" s="1">
        <v>230.4</v>
      </c>
      <c r="C2594" s="1">
        <v>7</v>
      </c>
    </row>
    <row r="2595" spans="1:3" x14ac:dyDescent="0.25">
      <c r="A2595" s="1" t="s">
        <v>40</v>
      </c>
      <c r="B2595" s="1">
        <v>54.8</v>
      </c>
      <c r="C2595" s="1">
        <v>1</v>
      </c>
    </row>
    <row r="2596" spans="1:3" x14ac:dyDescent="0.25">
      <c r="A2596" s="1" t="s">
        <v>10</v>
      </c>
      <c r="B2596" s="1">
        <v>38.4</v>
      </c>
      <c r="C2596" s="1">
        <v>1</v>
      </c>
    </row>
    <row r="2597" spans="1:3" x14ac:dyDescent="0.25">
      <c r="A2597" s="1" t="s">
        <v>49</v>
      </c>
      <c r="B2597" s="1">
        <v>40</v>
      </c>
      <c r="C2597" s="1">
        <v>1</v>
      </c>
    </row>
    <row r="2598" spans="1:3" x14ac:dyDescent="0.25">
      <c r="A2598" s="1" t="s">
        <v>18</v>
      </c>
      <c r="B2598" s="1">
        <v>115.2</v>
      </c>
      <c r="C2598" s="1">
        <v>3</v>
      </c>
    </row>
    <row r="2599" spans="1:3" x14ac:dyDescent="0.25">
      <c r="A2599" s="1" t="s">
        <v>17</v>
      </c>
      <c r="B2599" s="1">
        <v>38.4</v>
      </c>
      <c r="C2599" s="1">
        <v>1</v>
      </c>
    </row>
    <row r="2600" spans="1:3" x14ac:dyDescent="0.25">
      <c r="A2600" s="1" t="s">
        <v>53</v>
      </c>
      <c r="B2600" s="1">
        <v>28.75</v>
      </c>
      <c r="C2600" s="1">
        <v>1</v>
      </c>
    </row>
    <row r="2601" spans="1:3" x14ac:dyDescent="0.25">
      <c r="A2601" s="1" t="s">
        <v>27</v>
      </c>
      <c r="B2601" s="1">
        <v>76.8</v>
      </c>
      <c r="C2601" s="1">
        <v>2</v>
      </c>
    </row>
    <row r="2602" spans="1:3" x14ac:dyDescent="0.25">
      <c r="A2602" s="1" t="s">
        <v>12</v>
      </c>
      <c r="B2602" s="1">
        <v>70</v>
      </c>
      <c r="C2602" s="1">
        <v>2</v>
      </c>
    </row>
    <row r="2603" spans="1:3" x14ac:dyDescent="0.25">
      <c r="A2603" s="1" t="s">
        <v>15</v>
      </c>
      <c r="B2603" s="1">
        <v>136</v>
      </c>
      <c r="C2603" s="1">
        <v>2</v>
      </c>
    </row>
    <row r="2604" spans="1:3" x14ac:dyDescent="0.25">
      <c r="A2604" s="1" t="s">
        <v>44</v>
      </c>
      <c r="B2604" s="1">
        <v>38.4</v>
      </c>
      <c r="C2604" s="1">
        <v>1</v>
      </c>
    </row>
    <row r="2605" spans="1:3" x14ac:dyDescent="0.25">
      <c r="A2605" s="1" t="s">
        <v>33</v>
      </c>
      <c r="B2605" s="1">
        <v>40</v>
      </c>
      <c r="C2605" s="1">
        <v>1</v>
      </c>
    </row>
    <row r="2606" spans="1:3" x14ac:dyDescent="0.25">
      <c r="A2606" s="1" t="s">
        <v>183</v>
      </c>
      <c r="B2606" s="1"/>
      <c r="C2606" s="1"/>
    </row>
    <row r="2607" spans="1:3" x14ac:dyDescent="0.25">
      <c r="A2607" s="1" t="s">
        <v>1</v>
      </c>
      <c r="B2607" s="1">
        <v>24</v>
      </c>
      <c r="C2607" s="1"/>
    </row>
    <row r="2608" spans="1:3" x14ac:dyDescent="0.25">
      <c r="A2608" s="1" t="s">
        <v>2</v>
      </c>
      <c r="B2608" s="1">
        <v>948.15</v>
      </c>
      <c r="C2608" s="1"/>
    </row>
    <row r="2609" spans="1:3" x14ac:dyDescent="0.25">
      <c r="A2609" s="1" t="s">
        <v>3</v>
      </c>
      <c r="B2609" s="1" t="s">
        <v>4</v>
      </c>
      <c r="C2609" s="1" t="s">
        <v>5</v>
      </c>
    </row>
    <row r="2610" spans="1:3" x14ac:dyDescent="0.25">
      <c r="A2610" s="1" t="s">
        <v>7</v>
      </c>
      <c r="B2610" s="1">
        <v>109.6</v>
      </c>
      <c r="C2610" s="1">
        <v>2</v>
      </c>
    </row>
    <row r="2611" spans="1:3" x14ac:dyDescent="0.25">
      <c r="A2611" s="1" t="s">
        <v>40</v>
      </c>
      <c r="B2611" s="1">
        <v>54.8</v>
      </c>
      <c r="C2611" s="1">
        <v>1</v>
      </c>
    </row>
    <row r="2612" spans="1:3" x14ac:dyDescent="0.25">
      <c r="A2612" s="1" t="s">
        <v>21</v>
      </c>
      <c r="B2612" s="1">
        <v>219.2</v>
      </c>
      <c r="C2612" s="1">
        <v>4</v>
      </c>
    </row>
    <row r="2613" spans="1:3" x14ac:dyDescent="0.25">
      <c r="A2613" s="1" t="s">
        <v>64</v>
      </c>
      <c r="B2613" s="1">
        <v>38.4</v>
      </c>
      <c r="C2613" s="1">
        <v>2</v>
      </c>
    </row>
    <row r="2614" spans="1:3" x14ac:dyDescent="0.25">
      <c r="A2614" s="1" t="s">
        <v>12</v>
      </c>
      <c r="B2614" s="1">
        <v>35</v>
      </c>
      <c r="C2614" s="1">
        <v>1</v>
      </c>
    </row>
    <row r="2615" spans="1:3" x14ac:dyDescent="0.25">
      <c r="A2615" s="1" t="s">
        <v>13</v>
      </c>
      <c r="B2615" s="1">
        <v>38.4</v>
      </c>
      <c r="C2615" s="1">
        <v>1</v>
      </c>
    </row>
    <row r="2616" spans="1:3" x14ac:dyDescent="0.25">
      <c r="A2616" s="1" t="s">
        <v>32</v>
      </c>
      <c r="B2616" s="1">
        <v>38.4</v>
      </c>
      <c r="C2616" s="1">
        <v>1</v>
      </c>
    </row>
    <row r="2617" spans="1:3" x14ac:dyDescent="0.25">
      <c r="A2617" s="1" t="s">
        <v>54</v>
      </c>
      <c r="B2617" s="1">
        <v>38.4</v>
      </c>
      <c r="C2617" s="1">
        <v>1</v>
      </c>
    </row>
    <row r="2618" spans="1:3" x14ac:dyDescent="0.25">
      <c r="A2618" s="1" t="s">
        <v>18</v>
      </c>
      <c r="B2618" s="1">
        <v>38.4</v>
      </c>
      <c r="C2618" s="1">
        <v>1</v>
      </c>
    </row>
    <row r="2619" spans="1:3" x14ac:dyDescent="0.25">
      <c r="A2619" s="1" t="s">
        <v>49</v>
      </c>
      <c r="B2619" s="1">
        <v>40</v>
      </c>
      <c r="C2619" s="1">
        <v>1</v>
      </c>
    </row>
    <row r="2620" spans="1:3" x14ac:dyDescent="0.25">
      <c r="A2620" s="1" t="s">
        <v>17</v>
      </c>
      <c r="B2620" s="1">
        <v>76.8</v>
      </c>
      <c r="C2620" s="1">
        <v>2</v>
      </c>
    </row>
    <row r="2621" spans="1:3" x14ac:dyDescent="0.25">
      <c r="A2621" s="1" t="s">
        <v>56</v>
      </c>
      <c r="B2621" s="1">
        <v>38.4</v>
      </c>
      <c r="C2621" s="1">
        <v>1</v>
      </c>
    </row>
    <row r="2622" spans="1:3" x14ac:dyDescent="0.25">
      <c r="A2622" s="1" t="s">
        <v>36</v>
      </c>
      <c r="B2622" s="1">
        <v>38.4</v>
      </c>
      <c r="C2622" s="1">
        <v>1</v>
      </c>
    </row>
    <row r="2623" spans="1:3" x14ac:dyDescent="0.25">
      <c r="A2623" s="1" t="s">
        <v>20</v>
      </c>
      <c r="B2623" s="1">
        <v>76.8</v>
      </c>
      <c r="C2623" s="1">
        <v>2</v>
      </c>
    </row>
    <row r="2624" spans="1:3" x14ac:dyDescent="0.25">
      <c r="A2624" s="1" t="s">
        <v>41</v>
      </c>
      <c r="B2624" s="1">
        <v>28.75</v>
      </c>
      <c r="C2624" s="1">
        <v>1</v>
      </c>
    </row>
    <row r="2625" spans="1:3" x14ac:dyDescent="0.25">
      <c r="A2625" s="1" t="s">
        <v>9</v>
      </c>
      <c r="B2625" s="1">
        <v>38.4</v>
      </c>
      <c r="C2625" s="1">
        <v>2</v>
      </c>
    </row>
    <row r="2626" spans="1:3" x14ac:dyDescent="0.25">
      <c r="A2626" s="1" t="s">
        <v>184</v>
      </c>
      <c r="B2626" s="1"/>
      <c r="C2626" s="1"/>
    </row>
    <row r="2627" spans="1:3" x14ac:dyDescent="0.25">
      <c r="A2627" s="1" t="s">
        <v>1</v>
      </c>
      <c r="B2627" s="1">
        <v>25</v>
      </c>
      <c r="C2627" s="1"/>
    </row>
    <row r="2628" spans="1:3" x14ac:dyDescent="0.25">
      <c r="A2628" s="1" t="s">
        <v>2</v>
      </c>
      <c r="B2628" s="1">
        <v>1021.6</v>
      </c>
      <c r="C2628" s="1"/>
    </row>
    <row r="2629" spans="1:3" x14ac:dyDescent="0.25">
      <c r="A2629" s="1" t="s">
        <v>3</v>
      </c>
      <c r="B2629" s="1" t="s">
        <v>4</v>
      </c>
      <c r="C2629" s="1" t="s">
        <v>5</v>
      </c>
    </row>
    <row r="2630" spans="1:3" x14ac:dyDescent="0.25">
      <c r="A2630" s="1" t="s">
        <v>7</v>
      </c>
      <c r="B2630" s="1">
        <v>109.6</v>
      </c>
      <c r="C2630" s="1">
        <v>2</v>
      </c>
    </row>
    <row r="2631" spans="1:3" x14ac:dyDescent="0.25">
      <c r="A2631" s="1" t="s">
        <v>10</v>
      </c>
      <c r="B2631" s="1">
        <v>38.4</v>
      </c>
      <c r="C2631" s="1">
        <v>1</v>
      </c>
    </row>
    <row r="2632" spans="1:3" x14ac:dyDescent="0.25">
      <c r="A2632" s="1" t="s">
        <v>20</v>
      </c>
      <c r="B2632" s="1">
        <v>192</v>
      </c>
      <c r="C2632" s="1">
        <v>5</v>
      </c>
    </row>
    <row r="2633" spans="1:3" x14ac:dyDescent="0.25">
      <c r="A2633" s="1" t="s">
        <v>17</v>
      </c>
      <c r="B2633" s="1">
        <v>115.2</v>
      </c>
      <c r="C2633" s="1">
        <v>3</v>
      </c>
    </row>
    <row r="2634" spans="1:3" x14ac:dyDescent="0.25">
      <c r="A2634" s="1" t="s">
        <v>27</v>
      </c>
      <c r="B2634" s="1">
        <v>153.6</v>
      </c>
      <c r="C2634" s="1">
        <v>5</v>
      </c>
    </row>
    <row r="2635" spans="1:3" x14ac:dyDescent="0.25">
      <c r="A2635" s="1" t="s">
        <v>13</v>
      </c>
      <c r="B2635" s="1">
        <v>38.4</v>
      </c>
      <c r="C2635" s="1">
        <v>1</v>
      </c>
    </row>
    <row r="2636" spans="1:3" x14ac:dyDescent="0.25">
      <c r="A2636" s="1" t="s">
        <v>18</v>
      </c>
      <c r="B2636" s="1">
        <v>76.8</v>
      </c>
      <c r="C2636" s="1">
        <v>2</v>
      </c>
    </row>
    <row r="2637" spans="1:3" x14ac:dyDescent="0.25">
      <c r="A2637" s="1" t="s">
        <v>42</v>
      </c>
      <c r="B2637" s="1">
        <v>40</v>
      </c>
      <c r="C2637" s="1">
        <v>1</v>
      </c>
    </row>
    <row r="2638" spans="1:3" x14ac:dyDescent="0.25">
      <c r="A2638" s="1" t="s">
        <v>44</v>
      </c>
      <c r="B2638" s="1">
        <v>38.4</v>
      </c>
      <c r="C2638" s="1">
        <v>1</v>
      </c>
    </row>
    <row r="2639" spans="1:3" x14ac:dyDescent="0.25">
      <c r="A2639" s="1" t="s">
        <v>21</v>
      </c>
      <c r="B2639" s="1">
        <v>219.2</v>
      </c>
      <c r="C2639" s="1">
        <v>4</v>
      </c>
    </row>
    <row r="2640" spans="1:3" x14ac:dyDescent="0.25">
      <c r="A2640" s="1" t="s">
        <v>185</v>
      </c>
      <c r="B2640" s="1"/>
      <c r="C2640" s="1"/>
    </row>
    <row r="2641" spans="1:3" x14ac:dyDescent="0.25">
      <c r="A2641" s="1" t="s">
        <v>1</v>
      </c>
      <c r="B2641" s="1">
        <v>30</v>
      </c>
      <c r="C2641" s="1"/>
    </row>
    <row r="2642" spans="1:3" x14ac:dyDescent="0.25">
      <c r="A2642" s="1" t="s">
        <v>2</v>
      </c>
      <c r="B2642" s="1">
        <v>1228.04</v>
      </c>
      <c r="C2642" s="1"/>
    </row>
    <row r="2643" spans="1:3" x14ac:dyDescent="0.25">
      <c r="A2643" s="1" t="s">
        <v>3</v>
      </c>
      <c r="B2643" s="1" t="s">
        <v>4</v>
      </c>
      <c r="C2643" s="1" t="s">
        <v>5</v>
      </c>
    </row>
    <row r="2644" spans="1:3" x14ac:dyDescent="0.25">
      <c r="A2644" s="1" t="s">
        <v>8</v>
      </c>
      <c r="B2644" s="1">
        <v>274</v>
      </c>
      <c r="C2644" s="1">
        <v>5</v>
      </c>
    </row>
    <row r="2645" spans="1:3" x14ac:dyDescent="0.25">
      <c r="A2645" s="1" t="s">
        <v>22</v>
      </c>
      <c r="B2645" s="1">
        <v>54.8</v>
      </c>
      <c r="C2645" s="1">
        <v>1</v>
      </c>
    </row>
    <row r="2646" spans="1:3" x14ac:dyDescent="0.25">
      <c r="A2646" s="1" t="s">
        <v>14</v>
      </c>
      <c r="B2646" s="1">
        <v>28.75</v>
      </c>
      <c r="C2646" s="1">
        <v>1</v>
      </c>
    </row>
    <row r="2647" spans="1:3" x14ac:dyDescent="0.25">
      <c r="A2647" s="1" t="s">
        <v>20</v>
      </c>
      <c r="B2647" s="1">
        <v>460.8</v>
      </c>
      <c r="C2647" s="1">
        <v>13</v>
      </c>
    </row>
    <row r="2648" spans="1:3" x14ac:dyDescent="0.25">
      <c r="A2648" s="1" t="s">
        <v>18</v>
      </c>
      <c r="B2648" s="1">
        <v>76.8</v>
      </c>
      <c r="C2648" s="1">
        <v>2</v>
      </c>
    </row>
    <row r="2649" spans="1:3" x14ac:dyDescent="0.25">
      <c r="A2649" s="1" t="s">
        <v>40</v>
      </c>
      <c r="B2649" s="1">
        <v>54.8</v>
      </c>
      <c r="C2649" s="1">
        <v>1</v>
      </c>
    </row>
    <row r="2650" spans="1:3" x14ac:dyDescent="0.25">
      <c r="A2650" s="1" t="s">
        <v>12</v>
      </c>
      <c r="B2650" s="1">
        <v>70</v>
      </c>
      <c r="C2650" s="1">
        <v>2</v>
      </c>
    </row>
    <row r="2651" spans="1:3" x14ac:dyDescent="0.25">
      <c r="A2651" s="1" t="s">
        <v>50</v>
      </c>
      <c r="B2651" s="1">
        <v>42.5</v>
      </c>
      <c r="C2651" s="1">
        <v>1</v>
      </c>
    </row>
    <row r="2652" spans="1:3" x14ac:dyDescent="0.25">
      <c r="A2652" s="1" t="s">
        <v>6</v>
      </c>
      <c r="B2652" s="1">
        <v>54.8</v>
      </c>
      <c r="C2652" s="1">
        <v>1</v>
      </c>
    </row>
    <row r="2653" spans="1:3" x14ac:dyDescent="0.25">
      <c r="A2653" s="1" t="s">
        <v>7</v>
      </c>
      <c r="B2653" s="1">
        <v>54.8</v>
      </c>
      <c r="C2653" s="1">
        <v>1</v>
      </c>
    </row>
    <row r="2654" spans="1:3" x14ac:dyDescent="0.25">
      <c r="A2654" s="1" t="s">
        <v>30</v>
      </c>
      <c r="B2654" s="1">
        <v>15.99</v>
      </c>
      <c r="C2654" s="1">
        <v>1</v>
      </c>
    </row>
    <row r="2655" spans="1:3" x14ac:dyDescent="0.25">
      <c r="A2655" s="1" t="s">
        <v>33</v>
      </c>
      <c r="B2655" s="1">
        <v>40</v>
      </c>
      <c r="C2655" s="1">
        <v>1</v>
      </c>
    </row>
    <row r="2656" spans="1:3" x14ac:dyDescent="0.25">
      <c r="A2656" s="1" t="s">
        <v>186</v>
      </c>
      <c r="B2656" s="1"/>
      <c r="C2656" s="1"/>
    </row>
    <row r="2657" spans="1:3" x14ac:dyDescent="0.25">
      <c r="A2657" s="1" t="s">
        <v>1</v>
      </c>
      <c r="B2657" s="1">
        <v>30</v>
      </c>
      <c r="C2657" s="1"/>
    </row>
    <row r="2658" spans="1:3" x14ac:dyDescent="0.25">
      <c r="A2658" s="1" t="s">
        <v>2</v>
      </c>
      <c r="B2658" s="1">
        <v>1300.55</v>
      </c>
      <c r="C2658" s="1"/>
    </row>
    <row r="2659" spans="1:3" x14ac:dyDescent="0.25">
      <c r="A2659" s="1" t="s">
        <v>3</v>
      </c>
      <c r="B2659" s="1" t="s">
        <v>4</v>
      </c>
      <c r="C2659" s="1" t="s">
        <v>5</v>
      </c>
    </row>
    <row r="2660" spans="1:3" x14ac:dyDescent="0.25">
      <c r="A2660" s="1" t="s">
        <v>17</v>
      </c>
      <c r="B2660" s="1">
        <v>115.2</v>
      </c>
      <c r="C2660" s="1">
        <v>3</v>
      </c>
    </row>
    <row r="2661" spans="1:3" x14ac:dyDescent="0.25">
      <c r="A2661" s="1" t="s">
        <v>51</v>
      </c>
      <c r="B2661" s="1">
        <v>38.4</v>
      </c>
      <c r="C2661" s="1">
        <v>1</v>
      </c>
    </row>
    <row r="2662" spans="1:3" x14ac:dyDescent="0.25">
      <c r="A2662" s="1" t="s">
        <v>8</v>
      </c>
      <c r="B2662" s="1">
        <v>54.8</v>
      </c>
      <c r="C2662" s="1">
        <v>1</v>
      </c>
    </row>
    <row r="2663" spans="1:3" x14ac:dyDescent="0.25">
      <c r="A2663" s="1" t="s">
        <v>18</v>
      </c>
      <c r="B2663" s="1">
        <v>115.2</v>
      </c>
      <c r="C2663" s="1">
        <v>3</v>
      </c>
    </row>
    <row r="2664" spans="1:3" x14ac:dyDescent="0.25">
      <c r="A2664" s="1" t="s">
        <v>20</v>
      </c>
      <c r="B2664" s="1">
        <v>38.4</v>
      </c>
      <c r="C2664" s="1">
        <v>1</v>
      </c>
    </row>
    <row r="2665" spans="1:3" x14ac:dyDescent="0.25">
      <c r="A2665" s="1" t="s">
        <v>32</v>
      </c>
      <c r="B2665" s="1">
        <v>38.4</v>
      </c>
      <c r="C2665" s="1">
        <v>1</v>
      </c>
    </row>
    <row r="2666" spans="1:3" x14ac:dyDescent="0.25">
      <c r="A2666" s="1" t="s">
        <v>7</v>
      </c>
      <c r="B2666" s="1">
        <v>54.8</v>
      </c>
      <c r="C2666" s="1">
        <v>1</v>
      </c>
    </row>
    <row r="2667" spans="1:3" x14ac:dyDescent="0.25">
      <c r="A2667" s="1" t="s">
        <v>12</v>
      </c>
      <c r="B2667" s="1">
        <v>175</v>
      </c>
      <c r="C2667" s="1">
        <v>5</v>
      </c>
    </row>
    <row r="2668" spans="1:3" x14ac:dyDescent="0.25">
      <c r="A2668" s="1" t="s">
        <v>40</v>
      </c>
      <c r="B2668" s="1">
        <v>109.6</v>
      </c>
      <c r="C2668" s="1">
        <v>2</v>
      </c>
    </row>
    <row r="2669" spans="1:3" x14ac:dyDescent="0.25">
      <c r="A2669" s="1" t="s">
        <v>15</v>
      </c>
      <c r="B2669" s="1">
        <v>340</v>
      </c>
      <c r="C2669" s="1">
        <v>6</v>
      </c>
    </row>
    <row r="2670" spans="1:3" x14ac:dyDescent="0.25">
      <c r="A2670" s="1" t="s">
        <v>33</v>
      </c>
      <c r="B2670" s="1">
        <v>80</v>
      </c>
      <c r="C2670" s="1">
        <v>2</v>
      </c>
    </row>
    <row r="2671" spans="1:3" x14ac:dyDescent="0.25">
      <c r="A2671" s="1" t="s">
        <v>16</v>
      </c>
      <c r="B2671" s="1">
        <v>35.200000000000003</v>
      </c>
      <c r="C2671" s="1">
        <v>1</v>
      </c>
    </row>
    <row r="2672" spans="1:3" x14ac:dyDescent="0.25">
      <c r="A2672" s="1" t="s">
        <v>19</v>
      </c>
      <c r="B2672" s="1">
        <v>28.75</v>
      </c>
      <c r="C2672" s="1">
        <v>1</v>
      </c>
    </row>
    <row r="2673" spans="1:3" x14ac:dyDescent="0.25">
      <c r="A2673" s="1" t="s">
        <v>44</v>
      </c>
      <c r="B2673" s="1">
        <v>76.8</v>
      </c>
      <c r="C2673" s="1">
        <v>2</v>
      </c>
    </row>
    <row r="2674" spans="1:3" x14ac:dyDescent="0.25">
      <c r="A2674" s="1" t="s">
        <v>187</v>
      </c>
      <c r="B2674" s="1"/>
      <c r="C2674" s="1"/>
    </row>
    <row r="2675" spans="1:3" x14ac:dyDescent="0.25">
      <c r="A2675" s="1" t="s">
        <v>1</v>
      </c>
      <c r="B2675" s="1">
        <v>6</v>
      </c>
      <c r="C2675" s="1"/>
    </row>
    <row r="2676" spans="1:3" x14ac:dyDescent="0.25">
      <c r="A2676" s="1" t="s">
        <v>2</v>
      </c>
      <c r="B2676" s="1">
        <v>264.8</v>
      </c>
      <c r="C2676" s="1"/>
    </row>
    <row r="2677" spans="1:3" x14ac:dyDescent="0.25">
      <c r="A2677" s="1" t="s">
        <v>3</v>
      </c>
      <c r="B2677" s="1" t="s">
        <v>4</v>
      </c>
      <c r="C2677" s="1" t="s">
        <v>5</v>
      </c>
    </row>
    <row r="2678" spans="1:3" x14ac:dyDescent="0.25">
      <c r="A2678" s="1" t="s">
        <v>32</v>
      </c>
      <c r="B2678" s="1">
        <v>38.4</v>
      </c>
      <c r="C2678" s="1">
        <v>1</v>
      </c>
    </row>
    <row r="2679" spans="1:3" x14ac:dyDescent="0.25">
      <c r="A2679" s="1" t="s">
        <v>49</v>
      </c>
      <c r="B2679" s="1">
        <v>40</v>
      </c>
      <c r="C2679" s="1">
        <v>1</v>
      </c>
    </row>
    <row r="2680" spans="1:3" x14ac:dyDescent="0.25">
      <c r="A2680" s="1" t="s">
        <v>20</v>
      </c>
      <c r="B2680" s="1">
        <v>76.8</v>
      </c>
      <c r="C2680" s="1">
        <v>2</v>
      </c>
    </row>
    <row r="2681" spans="1:3" x14ac:dyDescent="0.25">
      <c r="A2681" s="1" t="s">
        <v>8</v>
      </c>
      <c r="B2681" s="1">
        <v>109.6</v>
      </c>
      <c r="C2681" s="1">
        <v>2</v>
      </c>
    </row>
    <row r="2682" spans="1:3" x14ac:dyDescent="0.25">
      <c r="A2682" s="1" t="s">
        <v>188</v>
      </c>
      <c r="B2682" s="1"/>
      <c r="C2682" s="1"/>
    </row>
    <row r="2683" spans="1:3" x14ac:dyDescent="0.25">
      <c r="A2683" s="1" t="s">
        <v>1</v>
      </c>
      <c r="B2683" s="1">
        <v>16</v>
      </c>
      <c r="C2683" s="1"/>
    </row>
    <row r="2684" spans="1:3" x14ac:dyDescent="0.25">
      <c r="A2684" s="1" t="s">
        <v>2</v>
      </c>
      <c r="B2684" s="1">
        <v>621.79999999999995</v>
      </c>
      <c r="C2684" s="1"/>
    </row>
    <row r="2685" spans="1:3" x14ac:dyDescent="0.25">
      <c r="A2685" s="1" t="s">
        <v>3</v>
      </c>
      <c r="B2685" s="1" t="s">
        <v>4</v>
      </c>
      <c r="C2685" s="1" t="s">
        <v>5</v>
      </c>
    </row>
    <row r="2686" spans="1:3" x14ac:dyDescent="0.25">
      <c r="A2686" s="1" t="s">
        <v>12</v>
      </c>
      <c r="B2686" s="1">
        <v>35</v>
      </c>
      <c r="C2686" s="1">
        <v>1</v>
      </c>
    </row>
    <row r="2687" spans="1:3" x14ac:dyDescent="0.25">
      <c r="A2687" s="1" t="s">
        <v>18</v>
      </c>
      <c r="B2687" s="1">
        <v>115.2</v>
      </c>
      <c r="C2687" s="1">
        <v>3</v>
      </c>
    </row>
    <row r="2688" spans="1:3" x14ac:dyDescent="0.25">
      <c r="A2688" s="1" t="s">
        <v>32</v>
      </c>
      <c r="B2688" s="1">
        <v>76.8</v>
      </c>
      <c r="C2688" s="1">
        <v>2</v>
      </c>
    </row>
    <row r="2689" spans="1:3" x14ac:dyDescent="0.25">
      <c r="A2689" s="1" t="s">
        <v>51</v>
      </c>
      <c r="B2689" s="1">
        <v>38.4</v>
      </c>
      <c r="C2689" s="1">
        <v>1</v>
      </c>
    </row>
    <row r="2690" spans="1:3" x14ac:dyDescent="0.25">
      <c r="A2690" s="1" t="s">
        <v>6</v>
      </c>
      <c r="B2690" s="1">
        <v>54.8</v>
      </c>
      <c r="C2690" s="1">
        <v>1</v>
      </c>
    </row>
    <row r="2691" spans="1:3" x14ac:dyDescent="0.25">
      <c r="A2691" s="1" t="s">
        <v>10</v>
      </c>
      <c r="B2691" s="1">
        <v>38.4</v>
      </c>
      <c r="C2691" s="1">
        <v>1</v>
      </c>
    </row>
    <row r="2692" spans="1:3" x14ac:dyDescent="0.25">
      <c r="A2692" s="1" t="s">
        <v>20</v>
      </c>
      <c r="B2692" s="1">
        <v>153.6</v>
      </c>
      <c r="C2692" s="1">
        <v>4</v>
      </c>
    </row>
    <row r="2693" spans="1:3" x14ac:dyDescent="0.25">
      <c r="A2693" s="1" t="s">
        <v>22</v>
      </c>
      <c r="B2693" s="1">
        <v>54.8</v>
      </c>
      <c r="C2693" s="1">
        <v>2</v>
      </c>
    </row>
    <row r="2694" spans="1:3" x14ac:dyDescent="0.25">
      <c r="A2694" s="1" t="s">
        <v>21</v>
      </c>
      <c r="B2694" s="1">
        <v>54.8</v>
      </c>
      <c r="C2694" s="1">
        <v>1</v>
      </c>
    </row>
    <row r="2695" spans="1:3" x14ac:dyDescent="0.25">
      <c r="A2695" s="1" t="s">
        <v>189</v>
      </c>
      <c r="B2695" s="1"/>
      <c r="C2695" s="1"/>
    </row>
    <row r="2696" spans="1:3" x14ac:dyDescent="0.25">
      <c r="A2696" s="1" t="s">
        <v>1</v>
      </c>
      <c r="B2696" s="1">
        <v>1</v>
      </c>
      <c r="C2696" s="1"/>
    </row>
    <row r="2697" spans="1:3" x14ac:dyDescent="0.25">
      <c r="A2697" s="1" t="s">
        <v>2</v>
      </c>
      <c r="B2697" s="1">
        <v>54.8</v>
      </c>
      <c r="C2697" s="1"/>
    </row>
    <row r="2698" spans="1:3" x14ac:dyDescent="0.25">
      <c r="A2698" s="1" t="s">
        <v>3</v>
      </c>
      <c r="B2698" s="1" t="s">
        <v>4</v>
      </c>
      <c r="C2698" s="1" t="s">
        <v>5</v>
      </c>
    </row>
    <row r="2699" spans="1:3" x14ac:dyDescent="0.25">
      <c r="A2699" s="1" t="s">
        <v>40</v>
      </c>
      <c r="B2699" s="1">
        <v>54.8</v>
      </c>
      <c r="C2699" s="1">
        <v>1</v>
      </c>
    </row>
    <row r="2700" spans="1:3" x14ac:dyDescent="0.25">
      <c r="A2700" s="1" t="s">
        <v>190</v>
      </c>
      <c r="B2700" s="1"/>
      <c r="C2700" s="1"/>
    </row>
    <row r="2701" spans="1:3" x14ac:dyDescent="0.25">
      <c r="A2701" s="1" t="s">
        <v>1</v>
      </c>
      <c r="B2701" s="1">
        <v>2</v>
      </c>
      <c r="C2701" s="1"/>
    </row>
    <row r="2702" spans="1:3" x14ac:dyDescent="0.25">
      <c r="A2702" s="1" t="s">
        <v>2</v>
      </c>
      <c r="B2702" s="1">
        <v>51.26</v>
      </c>
      <c r="C2702" s="1"/>
    </row>
    <row r="2703" spans="1:3" x14ac:dyDescent="0.25">
      <c r="A2703" s="1" t="s">
        <v>3</v>
      </c>
      <c r="B2703" s="1" t="s">
        <v>4</v>
      </c>
      <c r="C2703" s="1" t="s">
        <v>5</v>
      </c>
    </row>
    <row r="2704" spans="1:3" x14ac:dyDescent="0.25">
      <c r="A2704" s="1" t="s">
        <v>191</v>
      </c>
      <c r="B2704" s="1">
        <v>33.520000000000003</v>
      </c>
      <c r="C2704" s="1">
        <v>1</v>
      </c>
    </row>
    <row r="2705" spans="1:3" x14ac:dyDescent="0.25">
      <c r="A2705" s="1" t="s">
        <v>192</v>
      </c>
      <c r="B2705" s="1">
        <v>17.739999999999998</v>
      </c>
      <c r="C2705" s="1">
        <v>1</v>
      </c>
    </row>
    <row r="2706" spans="1:3" x14ac:dyDescent="0.25">
      <c r="A2706" s="1" t="s">
        <v>193</v>
      </c>
      <c r="B2706" s="1"/>
      <c r="C2706" s="1"/>
    </row>
    <row r="2707" spans="1:3" x14ac:dyDescent="0.25">
      <c r="A2707" s="1" t="s">
        <v>1</v>
      </c>
      <c r="B2707" s="1">
        <v>1</v>
      </c>
      <c r="C2707" s="1"/>
    </row>
    <row r="2708" spans="1:3" x14ac:dyDescent="0.25">
      <c r="A2708" s="1" t="s">
        <v>2</v>
      </c>
      <c r="B2708" s="1">
        <v>38.4</v>
      </c>
      <c r="C2708" s="1"/>
    </row>
    <row r="2709" spans="1:3" x14ac:dyDescent="0.25">
      <c r="A2709" s="1" t="s">
        <v>3</v>
      </c>
      <c r="B2709" s="1" t="s">
        <v>4</v>
      </c>
      <c r="C2709" s="1" t="s">
        <v>5</v>
      </c>
    </row>
    <row r="2710" spans="1:3" x14ac:dyDescent="0.25">
      <c r="A2710" s="1" t="s">
        <v>20</v>
      </c>
      <c r="B2710" s="1">
        <v>38.4</v>
      </c>
      <c r="C2710" s="1">
        <v>1</v>
      </c>
    </row>
    <row r="2711" spans="1:3" x14ac:dyDescent="0.25">
      <c r="A2711" s="1" t="s">
        <v>194</v>
      </c>
      <c r="B2711" s="1"/>
      <c r="C2711" s="1"/>
    </row>
    <row r="2712" spans="1:3" x14ac:dyDescent="0.25">
      <c r="A2712" s="1" t="s">
        <v>1</v>
      </c>
      <c r="B2712" s="1">
        <v>2</v>
      </c>
      <c r="C2712" s="1"/>
    </row>
    <row r="2713" spans="1:3" x14ac:dyDescent="0.25">
      <c r="A2713" s="1" t="s">
        <v>2</v>
      </c>
      <c r="B2713" s="1">
        <v>73.400000000000006</v>
      </c>
      <c r="C2713" s="1"/>
    </row>
    <row r="2714" spans="1:3" x14ac:dyDescent="0.25">
      <c r="A2714" s="1" t="s">
        <v>3</v>
      </c>
      <c r="B2714" s="1" t="s">
        <v>4</v>
      </c>
      <c r="C2714" s="1" t="s">
        <v>5</v>
      </c>
    </row>
    <row r="2715" spans="1:3" x14ac:dyDescent="0.25">
      <c r="A2715" s="1" t="s">
        <v>12</v>
      </c>
      <c r="B2715" s="1">
        <v>35</v>
      </c>
      <c r="C2715" s="1">
        <v>1</v>
      </c>
    </row>
    <row r="2716" spans="1:3" x14ac:dyDescent="0.25">
      <c r="A2716" s="1" t="s">
        <v>20</v>
      </c>
      <c r="B2716" s="1">
        <v>38.4</v>
      </c>
      <c r="C2716" s="1">
        <v>1</v>
      </c>
    </row>
    <row r="2717" spans="1:3" x14ac:dyDescent="0.25">
      <c r="A2717" s="1" t="s">
        <v>195</v>
      </c>
      <c r="B2717" s="1"/>
      <c r="C2717" s="1"/>
    </row>
    <row r="2718" spans="1:3" x14ac:dyDescent="0.25">
      <c r="A2718" s="1" t="s">
        <v>1</v>
      </c>
      <c r="B2718" s="1">
        <v>1</v>
      </c>
      <c r="C2718" s="1"/>
    </row>
    <row r="2719" spans="1:3" x14ac:dyDescent="0.25">
      <c r="A2719" s="1" t="s">
        <v>2</v>
      </c>
      <c r="B2719" s="1">
        <v>35</v>
      </c>
      <c r="C2719" s="1"/>
    </row>
    <row r="2720" spans="1:3" x14ac:dyDescent="0.25">
      <c r="A2720" s="1" t="s">
        <v>3</v>
      </c>
      <c r="B2720" s="1" t="s">
        <v>4</v>
      </c>
      <c r="C2720" s="1" t="s">
        <v>5</v>
      </c>
    </row>
    <row r="2721" spans="1:3" x14ac:dyDescent="0.25">
      <c r="A2721" s="1" t="s">
        <v>12</v>
      </c>
      <c r="B2721" s="1">
        <v>35</v>
      </c>
      <c r="C27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Whisky Cask Sorted Sales</vt:lpstr>
      <vt:lpstr>Data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Collins</dc:creator>
  <cp:lastModifiedBy>Thomas Collins</cp:lastModifiedBy>
  <dcterms:created xsi:type="dcterms:W3CDTF">2022-01-13T17:21:40Z</dcterms:created>
  <dcterms:modified xsi:type="dcterms:W3CDTF">2022-01-16T21:25:29Z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ff2595f5-b2ea-42fb-988e-2270ae89824d</vt:lpwstr>
  </property>
</Properties>
</file>